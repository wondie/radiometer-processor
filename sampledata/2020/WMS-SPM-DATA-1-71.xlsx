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430"/>
  <workbookPr/>
  <mc:AlternateContent xmlns:mc="http://schemas.openxmlformats.org/markup-compatibility/2006">
    <mc:Choice Requires="x15">
      <x15ac:absPath xmlns:x15ac="http://schemas.microsoft.com/office/spreadsheetml/2010/11/ac" url="C:\Users\sankar\Documents\MSUfiles\MSUPhD\Reserach data DOC PARAFAC\WMS project\SPM\"/>
    </mc:Choice>
  </mc:AlternateContent>
  <xr:revisionPtr revIDLastSave="0" documentId="13_ncr:1_{471510C3-7765-48F4-A184-0C27862FDC27}" xr6:coauthVersionLast="45" xr6:coauthVersionMax="45" xr10:uidLastSave="{00000000-0000-0000-0000-000000000000}"/>
  <bookViews>
    <workbookView xWindow="-120" yWindow="-120" windowWidth="20730" windowHeight="11310" activeTab="2" xr2:uid="{00000000-000D-0000-FFFF-FFFF00000000}"/>
  </bookViews>
  <sheets>
    <sheet name="Chart1" sheetId="7" r:id="rId1"/>
    <sheet name="Sheet1" sheetId="1" r:id="rId2"/>
    <sheet name="Sesonal data" sheetId="8" r:id="rId3"/>
    <sheet name="Compatibility Report" sheetId="6" r:id="rId4"/>
  </sheets>
  <definedNames>
    <definedName name="_xlnm.Print_Area" localSheetId="1">Sheet1!$A$1:$M$48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 i="1" l="1"/>
  <c r="W107" i="1" l="1"/>
  <c r="X107" i="1"/>
  <c r="V107" i="1"/>
  <c r="V109" i="1"/>
  <c r="W109" i="1"/>
  <c r="X109" i="1"/>
  <c r="V111" i="1"/>
  <c r="W111" i="1"/>
  <c r="X111" i="1"/>
  <c r="V113" i="1"/>
  <c r="W113" i="1"/>
  <c r="X113" i="1"/>
  <c r="V116" i="1"/>
  <c r="W116" i="1"/>
  <c r="X116" i="1"/>
  <c r="V118" i="1"/>
  <c r="W118" i="1"/>
  <c r="X118" i="1"/>
  <c r="V120" i="1"/>
  <c r="W120" i="1"/>
  <c r="X120" i="1"/>
  <c r="V122" i="1"/>
  <c r="W122" i="1"/>
  <c r="X122" i="1"/>
  <c r="V126" i="1"/>
  <c r="W126" i="1"/>
  <c r="X126" i="1"/>
  <c r="V128" i="1"/>
  <c r="W128" i="1"/>
  <c r="X128" i="1"/>
  <c r="V130" i="1"/>
  <c r="W130" i="1"/>
  <c r="X130" i="1"/>
  <c r="V133" i="1"/>
  <c r="W133" i="1"/>
  <c r="X133" i="1"/>
  <c r="V135" i="1"/>
  <c r="W135" i="1"/>
  <c r="X135" i="1"/>
  <c r="V137" i="1"/>
  <c r="W137" i="1"/>
  <c r="X137" i="1"/>
  <c r="V139" i="1"/>
  <c r="W139" i="1"/>
  <c r="X139" i="1"/>
  <c r="V142" i="1"/>
  <c r="W142" i="1"/>
  <c r="X142" i="1"/>
  <c r="V144" i="1"/>
  <c r="W144" i="1"/>
  <c r="X144" i="1"/>
  <c r="V147" i="1"/>
  <c r="W147" i="1"/>
  <c r="X147" i="1"/>
  <c r="V149" i="1"/>
  <c r="W149" i="1"/>
  <c r="X149" i="1"/>
  <c r="V152" i="1"/>
  <c r="W152" i="1"/>
  <c r="X152" i="1"/>
  <c r="V154" i="1"/>
  <c r="W154" i="1"/>
  <c r="X154" i="1"/>
  <c r="V156" i="1"/>
  <c r="W156" i="1"/>
  <c r="X156" i="1"/>
  <c r="V159" i="1"/>
  <c r="W159" i="1"/>
  <c r="X159" i="1"/>
  <c r="V161" i="1"/>
  <c r="W161" i="1"/>
  <c r="X161" i="1"/>
  <c r="T107" i="1"/>
  <c r="T109" i="1"/>
  <c r="T111" i="1"/>
  <c r="T113" i="1"/>
  <c r="T114" i="1"/>
  <c r="T116" i="1"/>
  <c r="T118" i="1"/>
  <c r="T120" i="1"/>
  <c r="T121" i="1"/>
  <c r="T122" i="1"/>
  <c r="T124" i="1"/>
  <c r="U124" i="1" s="1"/>
  <c r="T126" i="1"/>
  <c r="T128" i="1"/>
  <c r="T130" i="1"/>
  <c r="T131" i="1"/>
  <c r="T133" i="1"/>
  <c r="T135" i="1"/>
  <c r="U135" i="1" s="1"/>
  <c r="T137" i="1"/>
  <c r="T139" i="1"/>
  <c r="T140" i="1"/>
  <c r="T142" i="1"/>
  <c r="T144" i="1"/>
  <c r="T145" i="1"/>
  <c r="T146" i="1"/>
  <c r="T147" i="1"/>
  <c r="T149" i="1"/>
  <c r="T150" i="1"/>
  <c r="T151" i="1"/>
  <c r="T152" i="1"/>
  <c r="T154" i="1"/>
  <c r="T156" i="1"/>
  <c r="T157" i="1"/>
  <c r="T159" i="1"/>
  <c r="T161" i="1"/>
  <c r="T163" i="1"/>
  <c r="T164" i="1"/>
  <c r="S107" i="1"/>
  <c r="S109" i="1"/>
  <c r="U109" i="1" s="1"/>
  <c r="S111" i="1"/>
  <c r="U111" i="1" s="1"/>
  <c r="S113" i="1"/>
  <c r="U113" i="1" s="1"/>
  <c r="S116" i="1"/>
  <c r="U116" i="1" s="1"/>
  <c r="S118" i="1"/>
  <c r="U118" i="1" s="1"/>
  <c r="S120" i="1"/>
  <c r="U120" i="1" s="1"/>
  <c r="S122" i="1"/>
  <c r="U122" i="1" s="1"/>
  <c r="S126" i="1"/>
  <c r="S128" i="1"/>
  <c r="U128" i="1" s="1"/>
  <c r="S130" i="1"/>
  <c r="S133" i="1"/>
  <c r="U133" i="1" s="1"/>
  <c r="S135" i="1"/>
  <c r="S137" i="1"/>
  <c r="U137" i="1" s="1"/>
  <c r="S139" i="1"/>
  <c r="U139" i="1" s="1"/>
  <c r="S142" i="1"/>
  <c r="S144" i="1"/>
  <c r="U144" i="1" s="1"/>
  <c r="S147" i="1"/>
  <c r="U147" i="1" s="1"/>
  <c r="S149" i="1"/>
  <c r="U149" i="1" s="1"/>
  <c r="S152" i="1"/>
  <c r="U152" i="1" s="1"/>
  <c r="S154" i="1"/>
  <c r="U154" i="1" s="1"/>
  <c r="S156" i="1"/>
  <c r="U156" i="1" s="1"/>
  <c r="S159" i="1"/>
  <c r="S161" i="1"/>
  <c r="U161" i="1" s="1"/>
  <c r="S163" i="1"/>
  <c r="N162" i="1"/>
  <c r="T162" i="1" s="1"/>
  <c r="N160" i="1"/>
  <c r="T160" i="1" s="1"/>
  <c r="N158" i="1"/>
  <c r="T158" i="1" s="1"/>
  <c r="N155" i="1"/>
  <c r="T155" i="1" s="1"/>
  <c r="N153" i="1"/>
  <c r="T153" i="1" s="1"/>
  <c r="N151" i="1"/>
  <c r="N148" i="1"/>
  <c r="T148" i="1" s="1"/>
  <c r="N146" i="1"/>
  <c r="N143" i="1"/>
  <c r="T143" i="1" s="1"/>
  <c r="N141" i="1"/>
  <c r="T141" i="1" s="1"/>
  <c r="N138" i="1"/>
  <c r="T138" i="1" s="1"/>
  <c r="N136" i="1"/>
  <c r="T136" i="1" s="1"/>
  <c r="N134" i="1"/>
  <c r="T134" i="1" s="1"/>
  <c r="N132" i="1"/>
  <c r="T132" i="1" s="1"/>
  <c r="N129" i="1"/>
  <c r="T129" i="1" s="1"/>
  <c r="N127" i="1"/>
  <c r="T127" i="1" s="1"/>
  <c r="N125" i="1"/>
  <c r="T125" i="1" s="1"/>
  <c r="N123" i="1"/>
  <c r="T123" i="1" s="1"/>
  <c r="N119" i="1"/>
  <c r="T119" i="1" s="1"/>
  <c r="N117" i="1"/>
  <c r="T117" i="1" s="1"/>
  <c r="N115" i="1"/>
  <c r="T115" i="1" s="1"/>
  <c r="N112" i="1"/>
  <c r="T112" i="1" s="1"/>
  <c r="N110" i="1"/>
  <c r="T110" i="1" s="1"/>
  <c r="N108" i="1"/>
  <c r="T108" i="1" s="1"/>
  <c r="N106" i="1"/>
  <c r="T106" i="1" s="1"/>
  <c r="U107" i="1" l="1"/>
  <c r="U159" i="1"/>
  <c r="U142" i="1"/>
  <c r="U126" i="1"/>
  <c r="U130" i="1"/>
  <c r="K106" i="1"/>
  <c r="L106" i="1" s="1"/>
  <c r="Q106" i="1" s="1"/>
  <c r="W106" i="1" s="1"/>
  <c r="K107" i="1"/>
  <c r="L107" i="1" s="1"/>
  <c r="K108" i="1"/>
  <c r="L108" i="1" s="1"/>
  <c r="K109" i="1"/>
  <c r="L109" i="1" s="1"/>
  <c r="K110" i="1"/>
  <c r="L110" i="1" s="1"/>
  <c r="Q110" i="1" s="1"/>
  <c r="W110" i="1" s="1"/>
  <c r="K111" i="1"/>
  <c r="L111" i="1" s="1"/>
  <c r="K112" i="1"/>
  <c r="L112" i="1" s="1"/>
  <c r="K113" i="1"/>
  <c r="L113" i="1" s="1"/>
  <c r="K114" i="1"/>
  <c r="L114" i="1" s="1"/>
  <c r="Q114" i="1" s="1"/>
  <c r="K115" i="1"/>
  <c r="L115" i="1" s="1"/>
  <c r="K116" i="1"/>
  <c r="L116" i="1" s="1"/>
  <c r="K117" i="1"/>
  <c r="L117" i="1" s="1"/>
  <c r="Q117" i="1" s="1"/>
  <c r="W117" i="1" s="1"/>
  <c r="K118" i="1"/>
  <c r="L118" i="1" s="1"/>
  <c r="K119" i="1"/>
  <c r="L119" i="1" s="1"/>
  <c r="K120" i="1"/>
  <c r="L120" i="1" s="1"/>
  <c r="K121" i="1"/>
  <c r="L121" i="1" s="1"/>
  <c r="G106" i="1"/>
  <c r="H106" i="1" s="1"/>
  <c r="G107" i="1"/>
  <c r="H107" i="1" s="1"/>
  <c r="M107" i="1" s="1"/>
  <c r="G108" i="1"/>
  <c r="H108" i="1" s="1"/>
  <c r="G109" i="1"/>
  <c r="H109" i="1" s="1"/>
  <c r="M109" i="1" s="1"/>
  <c r="G110" i="1"/>
  <c r="H110" i="1" s="1"/>
  <c r="G111" i="1"/>
  <c r="H111" i="1" s="1"/>
  <c r="M111" i="1" s="1"/>
  <c r="G112" i="1"/>
  <c r="H112" i="1" s="1"/>
  <c r="G113" i="1"/>
  <c r="H113" i="1" s="1"/>
  <c r="M113" i="1" s="1"/>
  <c r="G114" i="1"/>
  <c r="H114" i="1" s="1"/>
  <c r="G115" i="1"/>
  <c r="H115" i="1" s="1"/>
  <c r="G116" i="1"/>
  <c r="H116" i="1" s="1"/>
  <c r="M116" i="1" s="1"/>
  <c r="G117" i="1"/>
  <c r="H117" i="1" s="1"/>
  <c r="G118" i="1"/>
  <c r="H118" i="1" s="1"/>
  <c r="M118" i="1" s="1"/>
  <c r="G119" i="1"/>
  <c r="H119" i="1" s="1"/>
  <c r="G120" i="1"/>
  <c r="H120" i="1" s="1"/>
  <c r="M120" i="1" s="1"/>
  <c r="G121" i="1"/>
  <c r="H121" i="1" s="1"/>
  <c r="K122" i="1"/>
  <c r="L122" i="1" s="1"/>
  <c r="K123" i="1"/>
  <c r="L123" i="1" s="1"/>
  <c r="Q123" i="1" s="1"/>
  <c r="W123" i="1" s="1"/>
  <c r="K124" i="1"/>
  <c r="L124" i="1" s="1"/>
  <c r="Q124" i="1" s="1"/>
  <c r="K125" i="1"/>
  <c r="L125" i="1" s="1"/>
  <c r="Q125" i="1" s="1"/>
  <c r="W125" i="1" s="1"/>
  <c r="K126" i="1"/>
  <c r="L126" i="1" s="1"/>
  <c r="K127" i="1"/>
  <c r="L127" i="1" s="1"/>
  <c r="K128" i="1"/>
  <c r="L128" i="1" s="1"/>
  <c r="K129" i="1"/>
  <c r="L129" i="1" s="1"/>
  <c r="Q129" i="1" s="1"/>
  <c r="W129" i="1" s="1"/>
  <c r="K130" i="1"/>
  <c r="L130" i="1" s="1"/>
  <c r="K131" i="1"/>
  <c r="L131" i="1" s="1"/>
  <c r="Q131" i="1" s="1"/>
  <c r="K132" i="1"/>
  <c r="L132" i="1" s="1"/>
  <c r="K133" i="1"/>
  <c r="L133" i="1" s="1"/>
  <c r="G122" i="1"/>
  <c r="H122" i="1" s="1"/>
  <c r="M122" i="1" s="1"/>
  <c r="G123" i="1"/>
  <c r="H123" i="1" s="1"/>
  <c r="G124" i="1"/>
  <c r="H124" i="1" s="1"/>
  <c r="G125" i="1"/>
  <c r="H125" i="1" s="1"/>
  <c r="G126" i="1"/>
  <c r="H126" i="1" s="1"/>
  <c r="M126" i="1" s="1"/>
  <c r="G127" i="1"/>
  <c r="H127" i="1" s="1"/>
  <c r="G128" i="1"/>
  <c r="H128" i="1" s="1"/>
  <c r="M128" i="1" s="1"/>
  <c r="G129" i="1"/>
  <c r="H129" i="1" s="1"/>
  <c r="G130" i="1"/>
  <c r="H130" i="1" s="1"/>
  <c r="M130" i="1" s="1"/>
  <c r="G131" i="1"/>
  <c r="H131" i="1" s="1"/>
  <c r="G132" i="1"/>
  <c r="H132" i="1" s="1"/>
  <c r="G133" i="1"/>
  <c r="H133" i="1" s="1"/>
  <c r="M133" i="1" s="1"/>
  <c r="Q121" i="1" l="1"/>
  <c r="M129" i="1"/>
  <c r="R129" i="1" s="1"/>
  <c r="X129" i="1" s="1"/>
  <c r="P129" i="1"/>
  <c r="M117" i="1"/>
  <c r="R117" i="1" s="1"/>
  <c r="X117" i="1" s="1"/>
  <c r="P117" i="1"/>
  <c r="M132" i="1"/>
  <c r="R132" i="1" s="1"/>
  <c r="X132" i="1" s="1"/>
  <c r="P132" i="1"/>
  <c r="Q132" i="1"/>
  <c r="W132" i="1" s="1"/>
  <c r="M108" i="1"/>
  <c r="R108" i="1" s="1"/>
  <c r="X108" i="1" s="1"/>
  <c r="P108" i="1"/>
  <c r="M114" i="1"/>
  <c r="R114" i="1" s="1"/>
  <c r="X114" i="1" s="1"/>
  <c r="P114" i="1"/>
  <c r="M110" i="1"/>
  <c r="R110" i="1" s="1"/>
  <c r="X110" i="1" s="1"/>
  <c r="P110" i="1"/>
  <c r="M106" i="1"/>
  <c r="R106" i="1" s="1"/>
  <c r="X106" i="1" s="1"/>
  <c r="P106" i="1"/>
  <c r="M125" i="1"/>
  <c r="R125" i="1" s="1"/>
  <c r="X125" i="1" s="1"/>
  <c r="P125" i="1"/>
  <c r="M121" i="1"/>
  <c r="R121" i="1" s="1"/>
  <c r="X121" i="1" s="1"/>
  <c r="P121" i="1"/>
  <c r="M124" i="1"/>
  <c r="R124" i="1" s="1"/>
  <c r="X124" i="1" s="1"/>
  <c r="P124" i="1"/>
  <c r="M112" i="1"/>
  <c r="R112" i="1" s="1"/>
  <c r="X112" i="1" s="1"/>
  <c r="P112" i="1"/>
  <c r="Q112" i="1"/>
  <c r="W112" i="1" s="1"/>
  <c r="Q108" i="1"/>
  <c r="W108" i="1" s="1"/>
  <c r="M131" i="1"/>
  <c r="R131" i="1" s="1"/>
  <c r="X131" i="1" s="1"/>
  <c r="P131" i="1"/>
  <c r="M127" i="1"/>
  <c r="R127" i="1" s="1"/>
  <c r="X127" i="1" s="1"/>
  <c r="P127" i="1"/>
  <c r="M123" i="1"/>
  <c r="R123" i="1" s="1"/>
  <c r="X123" i="1" s="1"/>
  <c r="P123" i="1"/>
  <c r="Q127" i="1"/>
  <c r="W127" i="1" s="1"/>
  <c r="M119" i="1"/>
  <c r="R119" i="1" s="1"/>
  <c r="X119" i="1" s="1"/>
  <c r="P119" i="1"/>
  <c r="M115" i="1"/>
  <c r="R115" i="1" s="1"/>
  <c r="X115" i="1" s="1"/>
  <c r="P115" i="1"/>
  <c r="Q119" i="1"/>
  <c r="W119" i="1" s="1"/>
  <c r="Q115" i="1"/>
  <c r="W115" i="1" s="1"/>
  <c r="G164" i="1"/>
  <c r="H164" i="1" s="1"/>
  <c r="P164" i="1" s="1"/>
  <c r="S164" i="1" s="1"/>
  <c r="K164" i="1"/>
  <c r="L164" i="1" s="1"/>
  <c r="Q164" i="1" s="1"/>
  <c r="G163" i="1"/>
  <c r="H163" i="1"/>
  <c r="K163" i="1"/>
  <c r="L163" i="1" s="1"/>
  <c r="G162" i="1"/>
  <c r="H162" i="1" s="1"/>
  <c r="K162" i="1"/>
  <c r="L162" i="1" s="1"/>
  <c r="G161" i="1"/>
  <c r="H161" i="1" s="1"/>
  <c r="K161" i="1"/>
  <c r="L161" i="1" s="1"/>
  <c r="G160" i="1"/>
  <c r="H160" i="1" s="1"/>
  <c r="K160" i="1"/>
  <c r="L160" i="1" s="1"/>
  <c r="G159" i="1"/>
  <c r="H159" i="1" s="1"/>
  <c r="K159" i="1"/>
  <c r="L159" i="1" s="1"/>
  <c r="G158" i="1"/>
  <c r="H158" i="1" s="1"/>
  <c r="K158" i="1"/>
  <c r="L158" i="1" s="1"/>
  <c r="G157" i="1"/>
  <c r="H157" i="1" s="1"/>
  <c r="P157" i="1" s="1"/>
  <c r="K157" i="1"/>
  <c r="L157" i="1" s="1"/>
  <c r="Q157" i="1" s="1"/>
  <c r="G156" i="1"/>
  <c r="H156" i="1" s="1"/>
  <c r="K156" i="1"/>
  <c r="L156" i="1" s="1"/>
  <c r="G155" i="1"/>
  <c r="H155" i="1" s="1"/>
  <c r="K155" i="1"/>
  <c r="L155" i="1" s="1"/>
  <c r="G154" i="1"/>
  <c r="H154" i="1" s="1"/>
  <c r="K154" i="1"/>
  <c r="L154" i="1" s="1"/>
  <c r="G153" i="1"/>
  <c r="H153" i="1" s="1"/>
  <c r="K153" i="1"/>
  <c r="L153" i="1" s="1"/>
  <c r="G152" i="1"/>
  <c r="H152" i="1" s="1"/>
  <c r="K152" i="1"/>
  <c r="L152" i="1" s="1"/>
  <c r="G151" i="1"/>
  <c r="H151" i="1" s="1"/>
  <c r="K151" i="1"/>
  <c r="L151" i="1" s="1"/>
  <c r="G150" i="1"/>
  <c r="H150" i="1" s="1"/>
  <c r="P150" i="1" s="1"/>
  <c r="K150" i="1"/>
  <c r="L150" i="1" s="1"/>
  <c r="G149" i="1"/>
  <c r="H149" i="1" s="1"/>
  <c r="K149" i="1"/>
  <c r="L149" i="1" s="1"/>
  <c r="G148" i="1"/>
  <c r="H148" i="1" s="1"/>
  <c r="K148" i="1"/>
  <c r="L148" i="1" s="1"/>
  <c r="G147" i="1"/>
  <c r="H147" i="1" s="1"/>
  <c r="K147" i="1"/>
  <c r="L147" i="1" s="1"/>
  <c r="G146" i="1"/>
  <c r="H146" i="1" s="1"/>
  <c r="K146" i="1"/>
  <c r="L146" i="1" s="1"/>
  <c r="G145" i="1"/>
  <c r="H145" i="1" s="1"/>
  <c r="P145" i="1" s="1"/>
  <c r="K145" i="1"/>
  <c r="L145" i="1" s="1"/>
  <c r="Q145" i="1" s="1"/>
  <c r="G144" i="1"/>
  <c r="H144" i="1" s="1"/>
  <c r="K144" i="1"/>
  <c r="L144" i="1" s="1"/>
  <c r="G143" i="1"/>
  <c r="H143" i="1" s="1"/>
  <c r="K143" i="1"/>
  <c r="L143" i="1" s="1"/>
  <c r="G142" i="1"/>
  <c r="H142" i="1" s="1"/>
  <c r="K142" i="1"/>
  <c r="L142" i="1" s="1"/>
  <c r="G141" i="1"/>
  <c r="H141" i="1" s="1"/>
  <c r="K141" i="1"/>
  <c r="L141" i="1" s="1"/>
  <c r="G140" i="1"/>
  <c r="H140" i="1" s="1"/>
  <c r="P140" i="1" s="1"/>
  <c r="K140" i="1"/>
  <c r="L140" i="1" s="1"/>
  <c r="Q140" i="1" s="1"/>
  <c r="G139" i="1"/>
  <c r="H139" i="1" s="1"/>
  <c r="K139" i="1"/>
  <c r="L139" i="1" s="1"/>
  <c r="G138" i="1"/>
  <c r="H138" i="1" s="1"/>
  <c r="K138" i="1"/>
  <c r="L138" i="1" s="1"/>
  <c r="Q138" i="1" s="1"/>
  <c r="W138" i="1" s="1"/>
  <c r="G137" i="1"/>
  <c r="H137" i="1" s="1"/>
  <c r="K137" i="1"/>
  <c r="L137" i="1" s="1"/>
  <c r="G136" i="1"/>
  <c r="H136" i="1" s="1"/>
  <c r="K136" i="1"/>
  <c r="L136" i="1" s="1"/>
  <c r="G135" i="1"/>
  <c r="H135" i="1" s="1"/>
  <c r="K135" i="1"/>
  <c r="L135" i="1" s="1"/>
  <c r="G134" i="1"/>
  <c r="H134" i="1" s="1"/>
  <c r="P134" i="1" s="1"/>
  <c r="K134" i="1"/>
  <c r="L134" i="1" s="1"/>
  <c r="Q134" i="1" s="1"/>
  <c r="W134" i="1" s="1"/>
  <c r="G70" i="1"/>
  <c r="H70" i="1" s="1"/>
  <c r="P69" i="1" s="1"/>
  <c r="G51" i="1"/>
  <c r="H51" i="1" s="1"/>
  <c r="K51" i="1"/>
  <c r="L51" i="1" s="1"/>
  <c r="Q51" i="1" s="1"/>
  <c r="G28" i="1"/>
  <c r="H28" i="1" s="1"/>
  <c r="K28" i="1"/>
  <c r="L28" i="1" s="1"/>
  <c r="G29" i="1"/>
  <c r="H29" i="1" s="1"/>
  <c r="K29" i="1"/>
  <c r="L29" i="1" s="1"/>
  <c r="Q28" i="1" s="1"/>
  <c r="U20" i="1"/>
  <c r="U21" i="1"/>
  <c r="T22" i="1"/>
  <c r="U22" i="1" s="1"/>
  <c r="U23" i="1"/>
  <c r="U25" i="1"/>
  <c r="U27" i="1"/>
  <c r="U29" i="1"/>
  <c r="U30" i="1"/>
  <c r="U32" i="1"/>
  <c r="U34" i="1"/>
  <c r="U36" i="1"/>
  <c r="U38" i="1"/>
  <c r="U39" i="1"/>
  <c r="U41" i="1"/>
  <c r="U43" i="1"/>
  <c r="U45" i="1"/>
  <c r="U47" i="1"/>
  <c r="U49" i="1"/>
  <c r="U50" i="1"/>
  <c r="U52" i="1"/>
  <c r="U54" i="1"/>
  <c r="U56" i="1"/>
  <c r="U58" i="1"/>
  <c r="U59" i="1"/>
  <c r="U61" i="1"/>
  <c r="U63" i="1"/>
  <c r="U65" i="1"/>
  <c r="U66" i="1"/>
  <c r="U68" i="1"/>
  <c r="U70" i="1"/>
  <c r="U71" i="1"/>
  <c r="U73" i="1"/>
  <c r="U75" i="1"/>
  <c r="U77" i="1"/>
  <c r="U78" i="1"/>
  <c r="U80" i="1"/>
  <c r="U82" i="1"/>
  <c r="U84" i="1"/>
  <c r="U86" i="1"/>
  <c r="U87" i="1"/>
  <c r="U89" i="1"/>
  <c r="U91" i="1"/>
  <c r="U92" i="1"/>
  <c r="U94" i="1"/>
  <c r="U95" i="1"/>
  <c r="U97" i="1"/>
  <c r="U99" i="1"/>
  <c r="U101" i="1"/>
  <c r="U102" i="1"/>
  <c r="U4" i="1"/>
  <c r="U5" i="1"/>
  <c r="U6" i="1"/>
  <c r="U7" i="1"/>
  <c r="U8" i="1"/>
  <c r="U9" i="1"/>
  <c r="U10" i="1"/>
  <c r="U11" i="1"/>
  <c r="U12" i="1"/>
  <c r="U13" i="1"/>
  <c r="U14" i="1"/>
  <c r="U15" i="1"/>
  <c r="U16" i="1"/>
  <c r="U17" i="1"/>
  <c r="U18" i="1"/>
  <c r="U19" i="1"/>
  <c r="U3" i="1"/>
  <c r="G103" i="1"/>
  <c r="H103" i="1" s="1"/>
  <c r="G104" i="1"/>
  <c r="H104" i="1" s="1"/>
  <c r="G100" i="1"/>
  <c r="H100" i="1" s="1"/>
  <c r="G101" i="1"/>
  <c r="H101" i="1"/>
  <c r="G93" i="1"/>
  <c r="H93" i="1" s="1"/>
  <c r="G94" i="1"/>
  <c r="H94" i="1" s="1"/>
  <c r="G98" i="1"/>
  <c r="H98" i="1"/>
  <c r="G99" i="1"/>
  <c r="H99" i="1" s="1"/>
  <c r="G96" i="1"/>
  <c r="H96" i="1" s="1"/>
  <c r="G97" i="1"/>
  <c r="H97" i="1" s="1"/>
  <c r="G90" i="1"/>
  <c r="H90" i="1" s="1"/>
  <c r="G91" i="1"/>
  <c r="H91" i="1" s="1"/>
  <c r="G88" i="1"/>
  <c r="H88" i="1" s="1"/>
  <c r="G89" i="1"/>
  <c r="H89" i="1" s="1"/>
  <c r="G85" i="1"/>
  <c r="H85" i="1" s="1"/>
  <c r="G86" i="1"/>
  <c r="H86" i="1" s="1"/>
  <c r="G83" i="1"/>
  <c r="H83" i="1" s="1"/>
  <c r="G84" i="1"/>
  <c r="H84" i="1" s="1"/>
  <c r="G81" i="1"/>
  <c r="H81" i="1" s="1"/>
  <c r="G82" i="1"/>
  <c r="H82" i="1" s="1"/>
  <c r="G79" i="1"/>
  <c r="H79" i="1" s="1"/>
  <c r="M79" i="1" s="1"/>
  <c r="G80" i="1"/>
  <c r="H80" i="1" s="1"/>
  <c r="G76" i="1"/>
  <c r="H76" i="1" s="1"/>
  <c r="G77" i="1"/>
  <c r="H77" i="1" s="1"/>
  <c r="G74" i="1"/>
  <c r="H74" i="1" s="1"/>
  <c r="P74" i="1" s="1"/>
  <c r="G75" i="1"/>
  <c r="H75" i="1" s="1"/>
  <c r="G72" i="1"/>
  <c r="H72" i="1" s="1"/>
  <c r="G73" i="1"/>
  <c r="H73" i="1" s="1"/>
  <c r="G67" i="1"/>
  <c r="H67" i="1" s="1"/>
  <c r="G68" i="1"/>
  <c r="H68" i="1" s="1"/>
  <c r="G48" i="1"/>
  <c r="H48" i="1" s="1"/>
  <c r="G49" i="1"/>
  <c r="H49" i="1" s="1"/>
  <c r="G64" i="1"/>
  <c r="H64" i="1" s="1"/>
  <c r="G65" i="1"/>
  <c r="H65" i="1" s="1"/>
  <c r="G62" i="1"/>
  <c r="H62" i="1" s="1"/>
  <c r="G63" i="1"/>
  <c r="H63" i="1" s="1"/>
  <c r="M63" i="1" s="1"/>
  <c r="G60" i="1"/>
  <c r="H60" i="1" s="1"/>
  <c r="G61" i="1"/>
  <c r="H61" i="1" s="1"/>
  <c r="G57" i="1"/>
  <c r="H57" i="1" s="1"/>
  <c r="G58" i="1"/>
  <c r="H58" i="1" s="1"/>
  <c r="G55" i="1"/>
  <c r="H55" i="1" s="1"/>
  <c r="G56" i="1"/>
  <c r="H56" i="1" s="1"/>
  <c r="G53" i="1"/>
  <c r="H53" i="1" s="1"/>
  <c r="G54" i="1"/>
  <c r="H54" i="1" s="1"/>
  <c r="M54" i="1" s="1"/>
  <c r="G46" i="1"/>
  <c r="H46" i="1" s="1"/>
  <c r="G47" i="1"/>
  <c r="H47" i="1" s="1"/>
  <c r="G44" i="1"/>
  <c r="H44" i="1" s="1"/>
  <c r="G45" i="1"/>
  <c r="H45" i="1" s="1"/>
  <c r="G42" i="1"/>
  <c r="H42" i="1" s="1"/>
  <c r="G43" i="1"/>
  <c r="H43" i="1" s="1"/>
  <c r="G40" i="1"/>
  <c r="H40" i="1" s="1"/>
  <c r="G41" i="1"/>
  <c r="H41" i="1" s="1"/>
  <c r="G37" i="1"/>
  <c r="H37" i="1" s="1"/>
  <c r="M37" i="1" s="1"/>
  <c r="G38" i="1"/>
  <c r="H38" i="1" s="1"/>
  <c r="G35" i="1"/>
  <c r="H35" i="1" s="1"/>
  <c r="G36" i="1"/>
  <c r="H36" i="1" s="1"/>
  <c r="G33" i="1"/>
  <c r="H33" i="1" s="1"/>
  <c r="G34" i="1"/>
  <c r="H34" i="1" s="1"/>
  <c r="G31" i="1"/>
  <c r="H31" i="1" s="1"/>
  <c r="G32" i="1"/>
  <c r="H32" i="1" s="1"/>
  <c r="P31" i="1" s="1"/>
  <c r="G26" i="1"/>
  <c r="H26" i="1" s="1"/>
  <c r="G27" i="1"/>
  <c r="H27" i="1" s="1"/>
  <c r="G24" i="1"/>
  <c r="H24" i="1" s="1"/>
  <c r="G25" i="1"/>
  <c r="H25" i="1" s="1"/>
  <c r="G22" i="1"/>
  <c r="H22" i="1" s="1"/>
  <c r="G23" i="1"/>
  <c r="H23" i="1" s="1"/>
  <c r="G19" i="1"/>
  <c r="H19" i="1" s="1"/>
  <c r="G20" i="1"/>
  <c r="H20" i="1" s="1"/>
  <c r="G17" i="1"/>
  <c r="H17" i="1" s="1"/>
  <c r="G18" i="1"/>
  <c r="H18" i="1" s="1"/>
  <c r="G15" i="1"/>
  <c r="H15" i="1" s="1"/>
  <c r="G16" i="1"/>
  <c r="H16" i="1" s="1"/>
  <c r="G13" i="1"/>
  <c r="H13" i="1" s="1"/>
  <c r="G14" i="1"/>
  <c r="H14" i="1" s="1"/>
  <c r="G11" i="1"/>
  <c r="H11" i="1" s="1"/>
  <c r="G12" i="1"/>
  <c r="H12" i="1" s="1"/>
  <c r="G9" i="1"/>
  <c r="H9" i="1" s="1"/>
  <c r="G10" i="1"/>
  <c r="H10" i="1" s="1"/>
  <c r="G7" i="1"/>
  <c r="H7" i="1" s="1"/>
  <c r="G8" i="1"/>
  <c r="H8" i="1" s="1"/>
  <c r="G5" i="1"/>
  <c r="H5" i="1" s="1"/>
  <c r="G6" i="1"/>
  <c r="H6" i="1" s="1"/>
  <c r="G3" i="1"/>
  <c r="H3" i="1" s="1"/>
  <c r="M3" i="1" s="1"/>
  <c r="G4" i="1"/>
  <c r="H4" i="1" s="1"/>
  <c r="K70" i="1"/>
  <c r="L70" i="1" s="1"/>
  <c r="Q69" i="1" s="1"/>
  <c r="K69" i="1"/>
  <c r="L69" i="1"/>
  <c r="K3" i="1"/>
  <c r="L3" i="1" s="1"/>
  <c r="K4" i="1"/>
  <c r="L4" i="1" s="1"/>
  <c r="K5" i="1"/>
  <c r="L5" i="1" s="1"/>
  <c r="K6" i="1"/>
  <c r="L6" i="1" s="1"/>
  <c r="K7" i="1"/>
  <c r="L7" i="1" s="1"/>
  <c r="K8" i="1"/>
  <c r="L8" i="1"/>
  <c r="M8" i="1" s="1"/>
  <c r="K9" i="1"/>
  <c r="L9" i="1"/>
  <c r="K10" i="1"/>
  <c r="L10" i="1" s="1"/>
  <c r="K11" i="1"/>
  <c r="L11" i="1" s="1"/>
  <c r="M11" i="1" s="1"/>
  <c r="K12" i="1"/>
  <c r="L12" i="1" s="1"/>
  <c r="K13" i="1"/>
  <c r="L13" i="1" s="1"/>
  <c r="K14" i="1"/>
  <c r="L14" i="1" s="1"/>
  <c r="K15" i="1"/>
  <c r="L15" i="1" s="1"/>
  <c r="K16" i="1"/>
  <c r="L16" i="1"/>
  <c r="K17" i="1"/>
  <c r="L17" i="1" s="1"/>
  <c r="K18" i="1"/>
  <c r="L18" i="1" s="1"/>
  <c r="K19" i="1"/>
  <c r="L19" i="1" s="1"/>
  <c r="K20" i="1"/>
  <c r="L20" i="1" s="1"/>
  <c r="Q19" i="1" s="1"/>
  <c r="K22" i="1"/>
  <c r="L22" i="1" s="1"/>
  <c r="K23" i="1"/>
  <c r="L23" i="1" s="1"/>
  <c r="K24" i="1"/>
  <c r="L24" i="1" s="1"/>
  <c r="K25" i="1"/>
  <c r="L25" i="1" s="1"/>
  <c r="Q24" i="1" s="1"/>
  <c r="K26" i="1"/>
  <c r="L26" i="1" s="1"/>
  <c r="K27" i="1"/>
  <c r="L27" i="1" s="1"/>
  <c r="K31" i="1"/>
  <c r="L31" i="1" s="1"/>
  <c r="K32" i="1"/>
  <c r="L32" i="1" s="1"/>
  <c r="K33" i="1"/>
  <c r="L33" i="1" s="1"/>
  <c r="K34" i="1"/>
  <c r="L34" i="1" s="1"/>
  <c r="Q33" i="1" s="1"/>
  <c r="K35" i="1"/>
  <c r="L35" i="1" s="1"/>
  <c r="K36" i="1"/>
  <c r="L36" i="1" s="1"/>
  <c r="M36" i="1" s="1"/>
  <c r="K37" i="1"/>
  <c r="L37" i="1" s="1"/>
  <c r="K38" i="1"/>
  <c r="L38" i="1" s="1"/>
  <c r="K40" i="1"/>
  <c r="L40" i="1" s="1"/>
  <c r="K41" i="1"/>
  <c r="L41" i="1" s="1"/>
  <c r="K42" i="1"/>
  <c r="L42" i="1" s="1"/>
  <c r="K43" i="1"/>
  <c r="L43" i="1" s="1"/>
  <c r="K44" i="1"/>
  <c r="L44" i="1" s="1"/>
  <c r="Q44" i="1" s="1"/>
  <c r="K45" i="1"/>
  <c r="L45" i="1" s="1"/>
  <c r="K46" i="1"/>
  <c r="L46" i="1" s="1"/>
  <c r="K47" i="1"/>
  <c r="L47" i="1"/>
  <c r="K48" i="1"/>
  <c r="L48" i="1"/>
  <c r="K49" i="1"/>
  <c r="L49" i="1" s="1"/>
  <c r="K53" i="1"/>
  <c r="L53" i="1" s="1"/>
  <c r="K54" i="1"/>
  <c r="L54" i="1"/>
  <c r="K55" i="1"/>
  <c r="L55" i="1"/>
  <c r="K56" i="1"/>
  <c r="L56" i="1" s="1"/>
  <c r="K57" i="1"/>
  <c r="L57" i="1" s="1"/>
  <c r="K58" i="1"/>
  <c r="L58" i="1" s="1"/>
  <c r="K60" i="1"/>
  <c r="L60" i="1" s="1"/>
  <c r="K61" i="1"/>
  <c r="L61" i="1" s="1"/>
  <c r="K62" i="1"/>
  <c r="L62" i="1" s="1"/>
  <c r="Q62" i="1" s="1"/>
  <c r="K63" i="1"/>
  <c r="L63" i="1"/>
  <c r="K64" i="1"/>
  <c r="L64" i="1" s="1"/>
  <c r="K65" i="1"/>
  <c r="L65" i="1" s="1"/>
  <c r="K67" i="1"/>
  <c r="L67" i="1" s="1"/>
  <c r="K68" i="1"/>
  <c r="L68" i="1" s="1"/>
  <c r="K72" i="1"/>
  <c r="L72" i="1" s="1"/>
  <c r="K73" i="1"/>
  <c r="L73" i="1" s="1"/>
  <c r="K74" i="1"/>
  <c r="L74" i="1" s="1"/>
  <c r="K75" i="1"/>
  <c r="L75" i="1" s="1"/>
  <c r="Q74" i="1" s="1"/>
  <c r="K76" i="1"/>
  <c r="L76" i="1" s="1"/>
  <c r="M76" i="1" s="1"/>
  <c r="K77" i="1"/>
  <c r="L77" i="1" s="1"/>
  <c r="Q76" i="1" s="1"/>
  <c r="K79" i="1"/>
  <c r="L79" i="1" s="1"/>
  <c r="K80" i="1"/>
  <c r="L80" i="1"/>
  <c r="K81" i="1"/>
  <c r="L81" i="1"/>
  <c r="K82" i="1"/>
  <c r="L82" i="1" s="1"/>
  <c r="K83" i="1"/>
  <c r="L83" i="1" s="1"/>
  <c r="K84" i="1"/>
  <c r="L84" i="1"/>
  <c r="K85" i="1"/>
  <c r="L85" i="1" s="1"/>
  <c r="K86" i="1"/>
  <c r="L86" i="1" s="1"/>
  <c r="K88" i="1"/>
  <c r="L88" i="1" s="1"/>
  <c r="K89" i="1"/>
  <c r="L89" i="1" s="1"/>
  <c r="M89" i="1" s="1"/>
  <c r="K90" i="1"/>
  <c r="L90" i="1"/>
  <c r="K91" i="1"/>
  <c r="L91" i="1" s="1"/>
  <c r="K93" i="1"/>
  <c r="L93" i="1" s="1"/>
  <c r="K94" i="1"/>
  <c r="L94" i="1" s="1"/>
  <c r="K96" i="1"/>
  <c r="L96" i="1" s="1"/>
  <c r="M96" i="1" s="1"/>
  <c r="K97" i="1"/>
  <c r="L97" i="1" s="1"/>
  <c r="K98" i="1"/>
  <c r="L98" i="1" s="1"/>
  <c r="K99" i="1"/>
  <c r="L99" i="1" s="1"/>
  <c r="K100" i="1"/>
  <c r="L100" i="1"/>
  <c r="K101" i="1"/>
  <c r="L101" i="1" s="1"/>
  <c r="K103" i="1"/>
  <c r="L103" i="1" s="1"/>
  <c r="K104" i="1"/>
  <c r="L104" i="1" s="1"/>
  <c r="Q9" i="1"/>
  <c r="G21" i="1"/>
  <c r="H21" i="1" s="1"/>
  <c r="K21" i="1"/>
  <c r="L21" i="1" s="1"/>
  <c r="G69" i="1"/>
  <c r="H69" i="1" s="1"/>
  <c r="K78" i="1"/>
  <c r="L78" i="1" s="1"/>
  <c r="G78" i="1"/>
  <c r="H78" i="1" s="1"/>
  <c r="K87" i="1"/>
  <c r="L87" i="1" s="1"/>
  <c r="G87" i="1"/>
  <c r="H87" i="1" s="1"/>
  <c r="K92" i="1"/>
  <c r="L92" i="1" s="1"/>
  <c r="G92" i="1"/>
  <c r="H92" i="1" s="1"/>
  <c r="K95" i="1"/>
  <c r="L95" i="1" s="1"/>
  <c r="G95" i="1"/>
  <c r="H95" i="1" s="1"/>
  <c r="K102" i="1"/>
  <c r="L102" i="1"/>
  <c r="G102" i="1"/>
  <c r="H102" i="1" s="1"/>
  <c r="K105" i="1"/>
  <c r="L105" i="1" s="1"/>
  <c r="G105" i="1"/>
  <c r="H105" i="1"/>
  <c r="K52" i="1"/>
  <c r="L52" i="1" s="1"/>
  <c r="G52" i="1"/>
  <c r="H52" i="1" s="1"/>
  <c r="K50" i="1"/>
  <c r="L50" i="1"/>
  <c r="G50" i="1"/>
  <c r="H50" i="1"/>
  <c r="K59" i="1"/>
  <c r="L59" i="1"/>
  <c r="G59" i="1"/>
  <c r="H59" i="1" s="1"/>
  <c r="K66" i="1"/>
  <c r="L66" i="1" s="1"/>
  <c r="G66" i="1"/>
  <c r="H66" i="1"/>
  <c r="K71" i="1"/>
  <c r="L71" i="1" s="1"/>
  <c r="G71" i="1"/>
  <c r="H71" i="1" s="1"/>
  <c r="M71" i="1" s="1"/>
  <c r="K39" i="1"/>
  <c r="L39" i="1"/>
  <c r="G39" i="1"/>
  <c r="H39" i="1"/>
  <c r="K30" i="1"/>
  <c r="L30" i="1"/>
  <c r="G30" i="1"/>
  <c r="H30" i="1" s="1"/>
  <c r="M69" i="1" l="1"/>
  <c r="M101" i="1"/>
  <c r="M61" i="1"/>
  <c r="Q37" i="1"/>
  <c r="M45" i="1"/>
  <c r="M62" i="1"/>
  <c r="R62" i="1" s="1"/>
  <c r="Q143" i="1"/>
  <c r="W143" i="1" s="1"/>
  <c r="Q158" i="1"/>
  <c r="W158" i="1" s="1"/>
  <c r="Q160" i="1"/>
  <c r="W160" i="1" s="1"/>
  <c r="Q162" i="1"/>
  <c r="W162" i="1" s="1"/>
  <c r="M9" i="1"/>
  <c r="M95" i="1"/>
  <c r="M26" i="1"/>
  <c r="P143" i="1"/>
  <c r="S143" i="1" s="1"/>
  <c r="U143" i="1" s="1"/>
  <c r="Q151" i="1"/>
  <c r="W151" i="1" s="1"/>
  <c r="Q153" i="1"/>
  <c r="W153" i="1" s="1"/>
  <c r="Q155" i="1"/>
  <c r="W155" i="1" s="1"/>
  <c r="P67" i="1"/>
  <c r="M52" i="1"/>
  <c r="Q17" i="1"/>
  <c r="M14" i="1"/>
  <c r="P46" i="1"/>
  <c r="O90" i="1"/>
  <c r="O103" i="1"/>
  <c r="P57" i="1"/>
  <c r="M57" i="1"/>
  <c r="P136" i="1"/>
  <c r="V150" i="1"/>
  <c r="S150" i="1"/>
  <c r="U150" i="1" s="1"/>
  <c r="V115" i="1"/>
  <c r="S115" i="1"/>
  <c r="U115" i="1" s="1"/>
  <c r="Q3" i="1"/>
  <c r="P138" i="1"/>
  <c r="V143" i="1"/>
  <c r="V145" i="1"/>
  <c r="S145" i="1"/>
  <c r="U145" i="1" s="1"/>
  <c r="V123" i="1"/>
  <c r="S123" i="1"/>
  <c r="U123" i="1" s="1"/>
  <c r="V112" i="1"/>
  <c r="S112" i="1"/>
  <c r="U112" i="1" s="1"/>
  <c r="S121" i="1"/>
  <c r="U121" i="1" s="1"/>
  <c r="V121" i="1"/>
  <c r="V106" i="1"/>
  <c r="S106" i="1"/>
  <c r="U106" i="1" s="1"/>
  <c r="S114" i="1"/>
  <c r="U114" i="1" s="1"/>
  <c r="V114" i="1"/>
  <c r="M66" i="1"/>
  <c r="M50" i="1"/>
  <c r="M104" i="1"/>
  <c r="Q79" i="1"/>
  <c r="Q11" i="1"/>
  <c r="M18" i="1"/>
  <c r="M43" i="1"/>
  <c r="P53" i="1"/>
  <c r="M65" i="1"/>
  <c r="M86" i="1"/>
  <c r="P103" i="1"/>
  <c r="M29" i="1"/>
  <c r="V140" i="1"/>
  <c r="S140" i="1"/>
  <c r="U140" i="1" s="1"/>
  <c r="M144" i="1"/>
  <c r="Q146" i="1"/>
  <c r="W146" i="1" s="1"/>
  <c r="Q148" i="1"/>
  <c r="W148" i="1" s="1"/>
  <c r="P151" i="1"/>
  <c r="P153" i="1"/>
  <c r="P155" i="1"/>
  <c r="P160" i="1"/>
  <c r="P162" i="1"/>
  <c r="V119" i="1"/>
  <c r="S119" i="1"/>
  <c r="U119" i="1" s="1"/>
  <c r="V132" i="1"/>
  <c r="S132" i="1"/>
  <c r="U132" i="1" s="1"/>
  <c r="V129" i="1"/>
  <c r="S129" i="1"/>
  <c r="U129" i="1" s="1"/>
  <c r="M35" i="1"/>
  <c r="R35" i="1" s="1"/>
  <c r="M41" i="1"/>
  <c r="M84" i="1"/>
  <c r="S134" i="1"/>
  <c r="U134" i="1" s="1"/>
  <c r="V134" i="1"/>
  <c r="P141" i="1"/>
  <c r="S117" i="1"/>
  <c r="U117" i="1" s="1"/>
  <c r="V117" i="1"/>
  <c r="M16" i="1"/>
  <c r="P79" i="1"/>
  <c r="P158" i="1"/>
  <c r="S131" i="1"/>
  <c r="U131" i="1" s="1"/>
  <c r="V131" i="1"/>
  <c r="M105" i="1"/>
  <c r="M92" i="1"/>
  <c r="Q35" i="1"/>
  <c r="Q93" i="1"/>
  <c r="Q85" i="1"/>
  <c r="Q26" i="1"/>
  <c r="M6" i="1"/>
  <c r="P7" i="1"/>
  <c r="P42" i="1"/>
  <c r="P88" i="1"/>
  <c r="Q136" i="1"/>
  <c r="W136" i="1" s="1"/>
  <c r="Q141" i="1"/>
  <c r="W141" i="1" s="1"/>
  <c r="P146" i="1"/>
  <c r="P148" i="1"/>
  <c r="M150" i="1"/>
  <c r="R150" i="1" s="1"/>
  <c r="X150" i="1" s="1"/>
  <c r="Q150" i="1"/>
  <c r="V157" i="1"/>
  <c r="S157" i="1"/>
  <c r="U157" i="1" s="1"/>
  <c r="S127" i="1"/>
  <c r="U127" i="1" s="1"/>
  <c r="V127" i="1"/>
  <c r="V125" i="1"/>
  <c r="S125" i="1"/>
  <c r="U125" i="1" s="1"/>
  <c r="S110" i="1"/>
  <c r="U110" i="1" s="1"/>
  <c r="V110" i="1"/>
  <c r="S108" i="1"/>
  <c r="U108" i="1" s="1"/>
  <c r="V108" i="1"/>
  <c r="M87" i="1"/>
  <c r="Q7" i="1"/>
  <c r="M7" i="1"/>
  <c r="R7" i="1" s="1"/>
  <c r="M23" i="1"/>
  <c r="M39" i="1"/>
  <c r="Q96" i="1"/>
  <c r="M93" i="1"/>
  <c r="R93" i="1" s="1"/>
  <c r="Q90" i="1"/>
  <c r="M90" i="1"/>
  <c r="Q53" i="1"/>
  <c r="M53" i="1"/>
  <c r="R53" i="1" s="1"/>
  <c r="M44" i="1"/>
  <c r="R44" i="1" s="1"/>
  <c r="M22" i="1"/>
  <c r="P64" i="1"/>
  <c r="M64" i="1"/>
  <c r="M152" i="1"/>
  <c r="Q100" i="1"/>
  <c r="M91" i="1"/>
  <c r="M85" i="1"/>
  <c r="R85" i="1" s="1"/>
  <c r="Q13" i="1"/>
  <c r="P15" i="1"/>
  <c r="M15" i="1"/>
  <c r="M55" i="1"/>
  <c r="M73" i="1"/>
  <c r="M77" i="1"/>
  <c r="R76" i="1" s="1"/>
  <c r="M138" i="1"/>
  <c r="M141" i="1"/>
  <c r="M155" i="1"/>
  <c r="M59" i="1"/>
  <c r="M78" i="1"/>
  <c r="M74" i="1"/>
  <c r="Q72" i="1"/>
  <c r="Q57" i="1"/>
  <c r="M33" i="1"/>
  <c r="Q31" i="1"/>
  <c r="Q15" i="1"/>
  <c r="P11" i="1"/>
  <c r="M27" i="1"/>
  <c r="R26" i="1" s="1"/>
  <c r="T24" i="1"/>
  <c r="T26" i="1" s="1"/>
  <c r="M135" i="1"/>
  <c r="M137" i="1"/>
  <c r="M158" i="1"/>
  <c r="Q83" i="1"/>
  <c r="Q67" i="1"/>
  <c r="Q64" i="1"/>
  <c r="Q55" i="1"/>
  <c r="Q42" i="1"/>
  <c r="M32" i="1"/>
  <c r="P100" i="1"/>
  <c r="M30" i="1"/>
  <c r="M102" i="1"/>
  <c r="M100" i="1"/>
  <c r="R100" i="1" s="1"/>
  <c r="M67" i="1"/>
  <c r="M34" i="1"/>
  <c r="M75" i="1"/>
  <c r="M81" i="1"/>
  <c r="O88" i="1"/>
  <c r="P90" i="1"/>
  <c r="M99" i="1"/>
  <c r="M153" i="1"/>
  <c r="M156" i="1"/>
  <c r="M159" i="1"/>
  <c r="M162" i="1"/>
  <c r="M4" i="1"/>
  <c r="R3" i="1" s="1"/>
  <c r="M5" i="1"/>
  <c r="R5" i="1" s="1"/>
  <c r="P5" i="1"/>
  <c r="P19" i="1"/>
  <c r="M19" i="1"/>
  <c r="M49" i="1"/>
  <c r="M103" i="1"/>
  <c r="R103" i="1" s="1"/>
  <c r="Q48" i="1"/>
  <c r="P17" i="1"/>
  <c r="M17" i="1"/>
  <c r="R17" i="1" s="1"/>
  <c r="P22" i="1"/>
  <c r="M38" i="1"/>
  <c r="M94" i="1"/>
  <c r="O93" i="1"/>
  <c r="Q103" i="1"/>
  <c r="Q98" i="1"/>
  <c r="M88" i="1"/>
  <c r="R88" i="1" s="1"/>
  <c r="Q88" i="1"/>
  <c r="Q81" i="1"/>
  <c r="R64" i="1"/>
  <c r="Q60" i="1"/>
  <c r="Q46" i="1"/>
  <c r="Q40" i="1"/>
  <c r="R37" i="1"/>
  <c r="M13" i="1"/>
  <c r="R13" i="1" s="1"/>
  <c r="M25" i="1"/>
  <c r="M42" i="1"/>
  <c r="R42" i="1" s="1"/>
  <c r="M46" i="1"/>
  <c r="M72" i="1"/>
  <c r="P72" i="1"/>
  <c r="P81" i="1"/>
  <c r="P28" i="1"/>
  <c r="M28" i="1"/>
  <c r="R28" i="1" s="1"/>
  <c r="M51" i="1"/>
  <c r="R51" i="1" s="1"/>
  <c r="P51" i="1"/>
  <c r="M21" i="1"/>
  <c r="O100" i="1"/>
  <c r="R33" i="1"/>
  <c r="Q22" i="1"/>
  <c r="Q5" i="1"/>
  <c r="M10" i="1"/>
  <c r="R9" i="1" s="1"/>
  <c r="P13" i="1"/>
  <c r="P24" i="1"/>
  <c r="M24" i="1"/>
  <c r="P33" i="1"/>
  <c r="P37" i="1"/>
  <c r="M56" i="1"/>
  <c r="P60" i="1"/>
  <c r="M60" i="1"/>
  <c r="R60" i="1" s="1"/>
  <c r="M82" i="1"/>
  <c r="R81" i="1" s="1"/>
  <c r="M83" i="1"/>
  <c r="R83" i="1" s="1"/>
  <c r="P83" i="1"/>
  <c r="M97" i="1"/>
  <c r="R96" i="1" s="1"/>
  <c r="M47" i="1"/>
  <c r="P55" i="1"/>
  <c r="M80" i="1"/>
  <c r="R79" i="1" s="1"/>
  <c r="P98" i="1"/>
  <c r="P93" i="1"/>
  <c r="O96" i="1"/>
  <c r="M70" i="1"/>
  <c r="R69" i="1" s="1"/>
  <c r="M12" i="1"/>
  <c r="R11" i="1" s="1"/>
  <c r="P26" i="1"/>
  <c r="M40" i="1"/>
  <c r="R40" i="1" s="1"/>
  <c r="P44" i="1"/>
  <c r="M68" i="1"/>
  <c r="P96" i="1"/>
  <c r="M134" i="1"/>
  <c r="R134" i="1" s="1"/>
  <c r="X134" i="1" s="1"/>
  <c r="M164" i="1"/>
  <c r="R164" i="1" s="1"/>
  <c r="O98" i="1"/>
  <c r="M98" i="1"/>
  <c r="R98" i="1" s="1"/>
  <c r="M20" i="1"/>
  <c r="M31" i="1"/>
  <c r="R31" i="1" s="1"/>
  <c r="P40" i="1"/>
  <c r="M58" i="1"/>
  <c r="R57" i="1" s="1"/>
  <c r="P62" i="1"/>
  <c r="P48" i="1"/>
  <c r="M48" i="1"/>
  <c r="P85" i="1"/>
  <c r="U24" i="1"/>
  <c r="M136" i="1"/>
  <c r="M142" i="1"/>
  <c r="M145" i="1"/>
  <c r="R145" i="1" s="1"/>
  <c r="X145" i="1" s="1"/>
  <c r="M148" i="1"/>
  <c r="M154" i="1"/>
  <c r="P9" i="1"/>
  <c r="P35" i="1"/>
  <c r="P76" i="1"/>
  <c r="M140" i="1"/>
  <c r="R140" i="1" s="1"/>
  <c r="X140" i="1" s="1"/>
  <c r="M146" i="1"/>
  <c r="M149" i="1"/>
  <c r="M160" i="1"/>
  <c r="M163" i="1"/>
  <c r="M139" i="1"/>
  <c r="M143" i="1"/>
  <c r="R143" i="1" s="1"/>
  <c r="X143" i="1" s="1"/>
  <c r="M147" i="1"/>
  <c r="M151" i="1"/>
  <c r="R151" i="1" s="1"/>
  <c r="X151" i="1" s="1"/>
  <c r="M157" i="1"/>
  <c r="R157" i="1" s="1"/>
  <c r="X157" i="1" s="1"/>
  <c r="M161" i="1"/>
  <c r="R146" i="1" l="1"/>
  <c r="X146" i="1" s="1"/>
  <c r="R72" i="1"/>
  <c r="R24" i="1"/>
  <c r="R160" i="1"/>
  <c r="X160" i="1" s="1"/>
  <c r="R148" i="1"/>
  <c r="X148" i="1" s="1"/>
  <c r="R162" i="1"/>
  <c r="X162" i="1" s="1"/>
  <c r="R74" i="1"/>
  <c r="V160" i="1"/>
  <c r="S160" i="1"/>
  <c r="U160" i="1" s="1"/>
  <c r="R136" i="1"/>
  <c r="X136" i="1" s="1"/>
  <c r="R67" i="1"/>
  <c r="R153" i="1"/>
  <c r="X153" i="1" s="1"/>
  <c r="R155" i="1"/>
  <c r="X155" i="1" s="1"/>
  <c r="S155" i="1"/>
  <c r="U155" i="1" s="1"/>
  <c r="V155" i="1"/>
  <c r="V136" i="1"/>
  <c r="S136" i="1"/>
  <c r="U136" i="1" s="1"/>
  <c r="R141" i="1"/>
  <c r="X141" i="1" s="1"/>
  <c r="V148" i="1"/>
  <c r="S148" i="1"/>
  <c r="U148" i="1" s="1"/>
  <c r="S158" i="1"/>
  <c r="U158" i="1" s="1"/>
  <c r="V158" i="1"/>
  <c r="V153" i="1"/>
  <c r="S153" i="1"/>
  <c r="U153" i="1" s="1"/>
  <c r="R55" i="1"/>
  <c r="R19" i="1"/>
  <c r="R158" i="1"/>
  <c r="X158" i="1" s="1"/>
  <c r="R138" i="1"/>
  <c r="X138" i="1" s="1"/>
  <c r="R15" i="1"/>
  <c r="V146" i="1"/>
  <c r="S146" i="1"/>
  <c r="U146" i="1" s="1"/>
  <c r="S141" i="1"/>
  <c r="U141" i="1" s="1"/>
  <c r="V141" i="1"/>
  <c r="S162" i="1"/>
  <c r="U162" i="1" s="1"/>
  <c r="V162" i="1"/>
  <c r="S151" i="1"/>
  <c r="U151" i="1" s="1"/>
  <c r="V151" i="1"/>
  <c r="S138" i="1"/>
  <c r="U138" i="1" s="1"/>
  <c r="V138" i="1"/>
  <c r="R22" i="1"/>
  <c r="R90" i="1"/>
  <c r="R46" i="1"/>
  <c r="R48" i="1"/>
  <c r="T28" i="1"/>
  <c r="U26" i="1"/>
  <c r="U28" i="1" l="1"/>
  <c r="T31" i="1"/>
  <c r="U31" i="1" l="1"/>
  <c r="T33" i="1"/>
  <c r="T35" i="1" l="1"/>
  <c r="U33" i="1"/>
  <c r="T37" i="1" l="1"/>
  <c r="U35" i="1"/>
  <c r="T40" i="1" l="1"/>
  <c r="U37" i="1"/>
  <c r="T42" i="1" l="1"/>
  <c r="U40" i="1"/>
  <c r="U42" i="1" l="1"/>
  <c r="T44" i="1"/>
  <c r="U44" i="1" l="1"/>
  <c r="T46" i="1"/>
  <c r="T48" i="1" l="1"/>
  <c r="U46" i="1"/>
  <c r="T51" i="1" l="1"/>
  <c r="U48" i="1"/>
  <c r="T53" i="1" l="1"/>
  <c r="U51" i="1"/>
  <c r="U53" i="1" l="1"/>
  <c r="T55" i="1"/>
  <c r="U55" i="1" l="1"/>
  <c r="T57" i="1"/>
  <c r="T60" i="1" l="1"/>
  <c r="U57" i="1"/>
  <c r="T62" i="1" l="1"/>
  <c r="U60" i="1"/>
  <c r="U62" i="1" l="1"/>
  <c r="T64" i="1"/>
  <c r="U64" i="1" l="1"/>
  <c r="T67" i="1"/>
  <c r="U67" i="1" l="1"/>
  <c r="T69" i="1"/>
  <c r="T72" i="1" l="1"/>
  <c r="U69" i="1"/>
  <c r="T74" i="1" l="1"/>
  <c r="U72" i="1"/>
  <c r="T76" i="1" l="1"/>
  <c r="U74" i="1"/>
  <c r="T79" i="1" l="1"/>
  <c r="U76" i="1"/>
  <c r="U79" i="1" l="1"/>
  <c r="T81" i="1"/>
  <c r="U81" i="1" l="1"/>
  <c r="T83" i="1"/>
  <c r="T85" i="1" l="1"/>
  <c r="U83" i="1"/>
  <c r="T88" i="1" l="1"/>
  <c r="U85" i="1"/>
  <c r="T90" i="1" l="1"/>
  <c r="U88" i="1"/>
  <c r="T93" i="1" l="1"/>
  <c r="U90" i="1"/>
  <c r="T96" i="1" l="1"/>
  <c r="U93" i="1"/>
  <c r="T98" i="1" l="1"/>
  <c r="U96" i="1"/>
  <c r="U98" i="1" l="1"/>
  <c r="T100" i="1"/>
  <c r="U100" i="1" l="1"/>
  <c r="T103" i="1"/>
  <c r="U103" i="1" s="1"/>
</calcChain>
</file>

<file path=xl/sharedStrings.xml><?xml version="1.0" encoding="utf-8"?>
<sst xmlns="http://schemas.openxmlformats.org/spreadsheetml/2006/main" count="482" uniqueCount="257">
  <si>
    <t xml:space="preserve">Serial Number </t>
  </si>
  <si>
    <t>Sample Number</t>
  </si>
  <si>
    <t>Date</t>
  </si>
  <si>
    <t>Volume filtered (ml)</t>
  </si>
  <si>
    <t>SPM (mg/l)</t>
  </si>
  <si>
    <t>Ashing</t>
  </si>
  <si>
    <t>Filter Weight (g)</t>
  </si>
  <si>
    <t>Filter + Sediment Weight (g)</t>
  </si>
  <si>
    <t>Sediment Weight (g)</t>
  </si>
  <si>
    <t>Before Filter + Foil (g)</t>
  </si>
  <si>
    <t>After Filter + Foil (g)</t>
  </si>
  <si>
    <t>Compatibility Report for LPR_December_2015_SPM.xls</t>
  </si>
  <si>
    <t>Run on 3/13/2018 18:39</t>
  </si>
  <si>
    <t>The following features in this workbook are not supported by earlier versions of Excel. These features may be lost or degraded when opening this workbook in an earlier version of Excel or if you save this workbook in an earlier file format.</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</si>
  <si>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</si>
  <si>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</si>
  <si>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</si>
  <si>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</si>
  <si>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</si>
  <si>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11A</t>
  </si>
  <si>
    <t>11B</t>
  </si>
  <si>
    <t>12A</t>
  </si>
  <si>
    <t>12B</t>
  </si>
  <si>
    <t>13A</t>
  </si>
  <si>
    <t>13B</t>
  </si>
  <si>
    <t>10A</t>
  </si>
  <si>
    <t>10B</t>
  </si>
  <si>
    <t>control</t>
  </si>
  <si>
    <t>14A</t>
  </si>
  <si>
    <t>14B</t>
  </si>
  <si>
    <t>15A</t>
  </si>
  <si>
    <t>15B</t>
  </si>
  <si>
    <t>16A</t>
  </si>
  <si>
    <t>16B</t>
  </si>
  <si>
    <t>17A</t>
  </si>
  <si>
    <t>17B</t>
  </si>
  <si>
    <t>Control</t>
  </si>
  <si>
    <t>18A</t>
  </si>
  <si>
    <t>18B</t>
  </si>
  <si>
    <t>19A</t>
  </si>
  <si>
    <t>19B</t>
  </si>
  <si>
    <t>20A</t>
  </si>
  <si>
    <t>20B</t>
  </si>
  <si>
    <t>21A</t>
  </si>
  <si>
    <t>21B</t>
  </si>
  <si>
    <t>22A</t>
  </si>
  <si>
    <t>22B</t>
  </si>
  <si>
    <t>23A</t>
  </si>
  <si>
    <t>23B</t>
  </si>
  <si>
    <t>24A</t>
  </si>
  <si>
    <t>24B</t>
  </si>
  <si>
    <t>25A</t>
  </si>
  <si>
    <t>25B</t>
  </si>
  <si>
    <t>26A</t>
  </si>
  <si>
    <t>26B</t>
  </si>
  <si>
    <t>27A</t>
  </si>
  <si>
    <t>27B</t>
  </si>
  <si>
    <t>29A</t>
  </si>
  <si>
    <t>29B</t>
  </si>
  <si>
    <t>30A</t>
  </si>
  <si>
    <t>30B</t>
  </si>
  <si>
    <t>31A</t>
  </si>
  <si>
    <t>31B</t>
  </si>
  <si>
    <t>32A</t>
  </si>
  <si>
    <t>32B</t>
  </si>
  <si>
    <t>33A</t>
  </si>
  <si>
    <t>33B</t>
  </si>
  <si>
    <t>34A</t>
  </si>
  <si>
    <t>34B</t>
  </si>
  <si>
    <t>35A</t>
  </si>
  <si>
    <t>35B</t>
  </si>
  <si>
    <t>36A</t>
  </si>
  <si>
    <t>36B</t>
  </si>
  <si>
    <t>37A</t>
  </si>
  <si>
    <t>37B</t>
  </si>
  <si>
    <t>38A</t>
  </si>
  <si>
    <t>38B</t>
  </si>
  <si>
    <t>39A</t>
  </si>
  <si>
    <t>39B</t>
  </si>
  <si>
    <t>40A</t>
  </si>
  <si>
    <t>40B</t>
  </si>
  <si>
    <t>41A</t>
  </si>
  <si>
    <t>41B</t>
  </si>
  <si>
    <t>42A</t>
  </si>
  <si>
    <t>42B</t>
  </si>
  <si>
    <t>43A</t>
  </si>
  <si>
    <t>43B</t>
  </si>
  <si>
    <t>44A</t>
  </si>
  <si>
    <t>44B</t>
  </si>
  <si>
    <t>45A</t>
  </si>
  <si>
    <t>45B</t>
  </si>
  <si>
    <t>46A</t>
  </si>
  <si>
    <t>46B</t>
  </si>
  <si>
    <t>x</t>
  </si>
  <si>
    <t>1A</t>
  </si>
  <si>
    <t>1B</t>
  </si>
  <si>
    <t>2A</t>
  </si>
  <si>
    <t>2B</t>
  </si>
  <si>
    <t>3A</t>
  </si>
  <si>
    <t>3B</t>
  </si>
  <si>
    <t>4A</t>
  </si>
  <si>
    <t>4B</t>
  </si>
  <si>
    <t>5A</t>
  </si>
  <si>
    <t>5B</t>
  </si>
  <si>
    <t>6A</t>
  </si>
  <si>
    <t>6B</t>
  </si>
  <si>
    <t>7A</t>
  </si>
  <si>
    <t>7B</t>
  </si>
  <si>
    <t>8A</t>
  </si>
  <si>
    <t>8B</t>
  </si>
  <si>
    <t>9A</t>
  </si>
  <si>
    <t>9B</t>
  </si>
  <si>
    <t>controal</t>
  </si>
  <si>
    <t>WMS-40</t>
  </si>
  <si>
    <t>WMS-41</t>
  </si>
  <si>
    <t>WMS-42</t>
  </si>
  <si>
    <t>WMS-43</t>
  </si>
  <si>
    <t>WMS-44</t>
  </si>
  <si>
    <t>WMS-45</t>
  </si>
  <si>
    <t>WMS-46</t>
  </si>
  <si>
    <t>Average SPIM</t>
  </si>
  <si>
    <t>Average SPOM</t>
  </si>
  <si>
    <t>SPM</t>
  </si>
  <si>
    <t>WMS-01</t>
  </si>
  <si>
    <t>WMS-02</t>
  </si>
  <si>
    <t>WMS-</t>
  </si>
  <si>
    <t>02</t>
  </si>
  <si>
    <t>01</t>
  </si>
  <si>
    <t>03</t>
  </si>
  <si>
    <t>04</t>
  </si>
  <si>
    <t>05</t>
  </si>
  <si>
    <t>06</t>
  </si>
  <si>
    <t>07</t>
  </si>
  <si>
    <t>08</t>
  </si>
  <si>
    <t>09</t>
  </si>
  <si>
    <t/>
  </si>
  <si>
    <t>WMS-03</t>
  </si>
  <si>
    <t>WMS-04</t>
  </si>
  <si>
    <t>WMS-05</t>
  </si>
  <si>
    <t>WMS-06</t>
  </si>
  <si>
    <t>WMS-07</t>
  </si>
  <si>
    <t>WMS-08</t>
  </si>
  <si>
    <t>WMS-09</t>
  </si>
  <si>
    <t>WMS-10</t>
  </si>
  <si>
    <t>WMS-11</t>
  </si>
  <si>
    <t>WMS-12</t>
  </si>
  <si>
    <t>WMS-13</t>
  </si>
  <si>
    <t>WMS-14</t>
  </si>
  <si>
    <t>WMS-15</t>
  </si>
  <si>
    <t>WMS-16</t>
  </si>
  <si>
    <t>WMS-17</t>
  </si>
  <si>
    <t>WMS-18</t>
  </si>
  <si>
    <t>WMS-19</t>
  </si>
  <si>
    <t>WMS-20</t>
  </si>
  <si>
    <t>WMS-21</t>
  </si>
  <si>
    <t>WMS-22</t>
  </si>
  <si>
    <t>WMS-23</t>
  </si>
  <si>
    <t>WMS-24</t>
  </si>
  <si>
    <t>WMS-25</t>
  </si>
  <si>
    <t>WMS-26</t>
  </si>
  <si>
    <t>WMS-27</t>
  </si>
  <si>
    <t>WMS-29</t>
  </si>
  <si>
    <t>WMS-30</t>
  </si>
  <si>
    <t>WMS-31</t>
  </si>
  <si>
    <t>WMS-32</t>
  </si>
  <si>
    <t>WMS-33</t>
  </si>
  <si>
    <t>WMS-34</t>
  </si>
  <si>
    <t>WMS-35</t>
  </si>
  <si>
    <t>WMS-36</t>
  </si>
  <si>
    <t>WMS-37</t>
  </si>
  <si>
    <t>WMS-38</t>
  </si>
  <si>
    <t>WMS-39</t>
  </si>
  <si>
    <t>Sites</t>
  </si>
  <si>
    <t>SPIM</t>
  </si>
  <si>
    <t>SPOM</t>
  </si>
  <si>
    <t>inorganic matter weight (mg/l)</t>
  </si>
  <si>
    <t>organic Sediment Weight (g)</t>
  </si>
  <si>
    <t>organic Sediment weight (mg/l)</t>
  </si>
  <si>
    <t>59A</t>
  </si>
  <si>
    <t>59B</t>
  </si>
  <si>
    <t>60A</t>
  </si>
  <si>
    <t>60B</t>
  </si>
  <si>
    <t>61A</t>
  </si>
  <si>
    <t>61B</t>
  </si>
  <si>
    <t>62A</t>
  </si>
  <si>
    <t>62B</t>
  </si>
  <si>
    <t>63A</t>
  </si>
  <si>
    <t>63B</t>
  </si>
  <si>
    <t>64A</t>
  </si>
  <si>
    <t>64B</t>
  </si>
  <si>
    <t>65A</t>
  </si>
  <si>
    <t>65B</t>
  </si>
  <si>
    <t>66A</t>
  </si>
  <si>
    <t>66B</t>
  </si>
  <si>
    <t>67A</t>
  </si>
  <si>
    <t>67B</t>
  </si>
  <si>
    <t>68A</t>
  </si>
  <si>
    <t>68B</t>
  </si>
  <si>
    <t>69A</t>
  </si>
  <si>
    <t>69B</t>
  </si>
  <si>
    <t>70A</t>
  </si>
  <si>
    <t>70B</t>
  </si>
  <si>
    <t>71A</t>
  </si>
  <si>
    <t>71B</t>
  </si>
  <si>
    <t>54A</t>
  </si>
  <si>
    <t>55A</t>
  </si>
  <si>
    <t>55B</t>
  </si>
  <si>
    <t>56A</t>
  </si>
  <si>
    <t>56B</t>
  </si>
  <si>
    <t>57A</t>
  </si>
  <si>
    <t>57B</t>
  </si>
  <si>
    <t>58A</t>
  </si>
  <si>
    <t>58B</t>
  </si>
  <si>
    <t>47A</t>
  </si>
  <si>
    <t>47B</t>
  </si>
  <si>
    <t>48A</t>
  </si>
  <si>
    <t>48B</t>
  </si>
  <si>
    <t>49A</t>
  </si>
  <si>
    <t>49B</t>
  </si>
  <si>
    <t>50A</t>
  </si>
  <si>
    <t>50B</t>
  </si>
  <si>
    <t>51A</t>
  </si>
  <si>
    <t>51B</t>
  </si>
  <si>
    <t>52A</t>
  </si>
  <si>
    <t>52B</t>
  </si>
  <si>
    <t>53A</t>
  </si>
  <si>
    <t>53B</t>
  </si>
  <si>
    <t>WMS-47</t>
  </si>
  <si>
    <t>WMS-48</t>
  </si>
  <si>
    <t>WMS-49</t>
  </si>
  <si>
    <t>WMS-50</t>
  </si>
  <si>
    <t>WMS-51</t>
  </si>
  <si>
    <t>WMS-52</t>
  </si>
  <si>
    <t>WMS-53</t>
  </si>
  <si>
    <t>WMS-54</t>
  </si>
  <si>
    <t>WMS-55</t>
  </si>
  <si>
    <t>WMS-56</t>
  </si>
  <si>
    <t>WMS-57</t>
  </si>
  <si>
    <t>WMS-58</t>
  </si>
  <si>
    <t>WMS-59</t>
  </si>
  <si>
    <t>WMS-60</t>
  </si>
  <si>
    <t>WMS-61</t>
  </si>
  <si>
    <t>WMS-62</t>
  </si>
  <si>
    <t>WMS-63</t>
  </si>
  <si>
    <t>WMS-64</t>
  </si>
  <si>
    <t>WMS-65</t>
  </si>
  <si>
    <t>WMS-66</t>
  </si>
  <si>
    <t>WMS-67</t>
  </si>
  <si>
    <t>WMS-68</t>
  </si>
  <si>
    <t>WMS-69</t>
  </si>
  <si>
    <t>WMS-70</t>
  </si>
  <si>
    <t>WMS-71</t>
  </si>
  <si>
    <t>Season</t>
  </si>
  <si>
    <t>Spring 2018</t>
  </si>
  <si>
    <t>Summer 2018</t>
  </si>
  <si>
    <t>Winter 2018</t>
  </si>
  <si>
    <t>Summer2019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</si>
</sst>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9" x14ac:knownFonts="1">
    <font>
      <sz val="10"/>
      <name val="Arial"/>
    </font>
    <font>
      <sz val="8"/>
      <name val="Arial"/>
      <family val="2"/>
    </font>
    <font>
      <sz val="10"/>
      <name val="Arial"/>
      <family val="2"/>
    </font>
    <font>
      <b/>
      <sz val="10"/>
      <name val="Arial"/>
      <family val="2"/>
    </font>
    <font>
      <sz val="10"/>
      <name val="Arial"/>
      <family val="2"/>
    </font>
    <font>
      <b/>
      <sz val="10"/>
      <name val="Arial"/>
      <family val="2"/>
    </font>
    <font>
      <sz val="11"/>
      <color theme="1"/>
      <name val="Calibri"/>
      <family val="2"/>
      <scheme val="minor"/>
    </font>
    <font>
      <sz val="10"/>
      <color rgb="FFFF0000"/>
      <name val="Arial"/>
      <family val="2"/>
    </font>
    <font>
      <sz val="10"/>
      <color theme="1"/>
      <name val="Arial"/>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top/>
      <bottom/>
      <diagonal/>
    </border>
  </borders>
  <cellStyleXfs count="3">
    <xf numFmtId="0" fontId="0" fillId="0" borderId="0"/>
    <xf numFmtId="0" fontId="2" fillId="0" borderId="0"/>
    <xf numFmtId="0" fontId="6" fillId="0" borderId="0"/>
  </cellStyleXfs>
  <cellXfs count="75">
    <xf numFmtId="0" fontId="0" fillId="0" borderId="0" xfId="0"/>
    <xf numFmtId="0" fontId="0" fillId="0" borderId="1" xfId="0" applyBorder="1" applyAlignment="1">
      <alignment horizontal="center" vertical="top" wrapText="1"/>
    </xf>
    <xf numFmtId="0" fontId="0" fillId="2" borderId="1" xfId="0" applyFill="1" applyBorder="1"/>
    <xf numFmtId="14" fontId="0" fillId="2" borderId="1" xfId="0" applyNumberFormat="1" applyFill="1" applyBorder="1"/>
    <xf numFmtId="164" fontId="0" fillId="2" borderId="2" xfId="0" applyNumberFormat="1" applyFill="1" applyBorder="1"/>
    <xf numFmtId="164" fontId="0" fillId="2" borderId="0" xfId="0" applyNumberFormat="1" applyFill="1"/>
    <xf numFmtId="164" fontId="0" fillId="2" borderId="1" xfId="0" applyNumberFormat="1" applyFill="1" applyBorder="1"/>
    <xf numFmtId="165" fontId="0" fillId="2" borderId="1" xfId="0" applyNumberFormat="1" applyFill="1" applyBorder="1"/>
    <xf numFmtId="0" fontId="0" fillId="0" borderId="1" xfId="0" applyFill="1" applyBorder="1"/>
    <xf numFmtId="14" fontId="0" fillId="0" borderId="1" xfId="0" applyNumberFormat="1" applyFill="1" applyBorder="1"/>
    <xf numFmtId="164" fontId="0" fillId="0" borderId="2" xfId="0" applyNumberFormat="1" applyFill="1" applyBorder="1"/>
    <xf numFmtId="164" fontId="0" fillId="0" borderId="1" xfId="0" applyNumberFormat="1" applyFill="1" applyBorder="1"/>
    <xf numFmtId="165" fontId="0" fillId="0" borderId="1" xfId="0" applyNumberFormat="1" applyFill="1" applyBorder="1"/>
    <xf numFmtId="0" fontId="0" fillId="2" borderId="0" xfId="0" applyFill="1"/>
    <xf numFmtId="0" fontId="0" fillId="0" borderId="3" xfId="0" applyFill="1" applyBorder="1"/>
    <xf numFmtId="164" fontId="0" fillId="0" borderId="3" xfId="0" applyNumberFormat="1" applyFill="1" applyBorder="1"/>
    <xf numFmtId="0" fontId="0" fillId="0" borderId="4" xfId="0" applyFill="1" applyBorder="1"/>
    <xf numFmtId="164" fontId="0" fillId="0" borderId="5" xfId="0" applyNumberFormat="1" applyFill="1" applyBorder="1"/>
    <xf numFmtId="164" fontId="0" fillId="0" borderId="4" xfId="0" applyNumberFormat="1" applyFill="1" applyBorder="1"/>
    <xf numFmtId="0" fontId="0" fillId="2" borderId="2" xfId="0" applyFill="1" applyBorder="1"/>
    <xf numFmtId="0" fontId="0" fillId="0" borderId="0" xfId="0" applyFill="1"/>
    <xf numFmtId="0" fontId="0" fillId="3" borderId="1" xfId="0" applyFill="1" applyBorder="1"/>
    <xf numFmtId="164" fontId="0" fillId="3" borderId="1" xfId="0" applyNumberFormat="1" applyFill="1" applyBorder="1"/>
    <xf numFmtId="165" fontId="0" fillId="0" borderId="0" xfId="0" applyNumberFormat="1"/>
    <xf numFmtId="0" fontId="0" fillId="0" borderId="1" xfId="0" applyBorder="1"/>
    <xf numFmtId="14" fontId="0" fillId="0" borderId="0" xfId="0" applyNumberFormat="1" applyFill="1" applyBorder="1"/>
    <xf numFmtId="0" fontId="0" fillId="0" borderId="1" xfId="0" applyFont="1" applyFill="1" applyBorder="1"/>
    <xf numFmtId="0" fontId="0" fillId="2" borderId="1" xfId="0" applyFont="1" applyFill="1" applyBorder="1"/>
    <xf numFmtId="0" fontId="0" fillId="3" borderId="1" xfId="0" applyFont="1" applyFill="1" applyBorder="1"/>
    <xf numFmtId="0" fontId="0" fillId="0" borderId="5" xfId="0" applyFont="1" applyFill="1" applyBorder="1"/>
    <xf numFmtId="0" fontId="0" fillId="0" borderId="5" xfId="0" applyFill="1" applyBorder="1"/>
    <xf numFmtId="165" fontId="0" fillId="2" borderId="5" xfId="0" applyNumberFormat="1" applyFill="1" applyBorder="1"/>
    <xf numFmtId="14" fontId="0" fillId="0" borderId="0" xfId="0" applyNumberFormat="1"/>
    <xf numFmtId="164" fontId="7" fillId="0" borderId="1" xfId="0" applyNumberFormat="1" applyFont="1" applyFill="1" applyBorder="1"/>
    <xf numFmtId="165" fontId="7" fillId="0" borderId="1" xfId="0" applyNumberFormat="1" applyFont="1" applyFill="1" applyBorder="1"/>
    <xf numFmtId="164" fontId="7" fillId="3" borderId="1" xfId="0" applyNumberFormat="1" applyFont="1" applyFill="1" applyBorder="1"/>
    <xf numFmtId="0" fontId="3" fillId="0" borderId="0" xfId="0" applyNumberFormat="1" applyFont="1" applyAlignment="1">
      <alignment vertical="top" wrapText="1"/>
    </xf>
    <xf numFmtId="0" fontId="0" fillId="0" borderId="0" xfId="0" applyNumberFormat="1" applyAlignment="1">
      <alignment vertical="top" wrapText="1"/>
    </xf>
    <xf numFmtId="0" fontId="0" fillId="0" borderId="6" xfId="0" applyNumberFormat="1" applyBorder="1" applyAlignment="1">
      <alignment vertical="top" wrapText="1"/>
    </xf>
    <xf numFmtId="0" fontId="0" fillId="0" borderId="7" xfId="0" applyNumberFormat="1" applyBorder="1" applyAlignment="1">
      <alignment vertical="top" wrapText="1"/>
    </xf>
    <xf numFmtId="0" fontId="3"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7" xfId="0" applyNumberFormat="1" applyBorder="1" applyAlignment="1">
      <alignment horizontal="center" vertical="top" wrapText="1"/>
    </xf>
    <xf numFmtId="0" fontId="0" fillId="0" borderId="8" xfId="0" applyNumberFormat="1" applyBorder="1" applyAlignment="1">
      <alignment horizontal="center" vertical="top" wrapText="1"/>
    </xf>
    <xf numFmtId="164" fontId="2" fillId="0" borderId="2" xfId="0" applyNumberFormat="1" applyFont="1" applyFill="1" applyBorder="1"/>
    <xf numFmtId="0" fontId="0" fillId="3" borderId="3" xfId="0" applyFill="1" applyBorder="1"/>
    <xf numFmtId="14" fontId="0" fillId="3" borderId="1" xfId="0" applyNumberFormat="1" applyFill="1" applyBorder="1"/>
    <xf numFmtId="164" fontId="0" fillId="3" borderId="2" xfId="0" applyNumberFormat="1" applyFill="1" applyBorder="1"/>
    <xf numFmtId="165" fontId="0" fillId="3" borderId="1" xfId="0" applyNumberFormat="1" applyFill="1" applyBorder="1"/>
    <xf numFmtId="164" fontId="0" fillId="3" borderId="3" xfId="0" applyNumberFormat="1" applyFill="1" applyBorder="1"/>
    <xf numFmtId="164" fontId="7" fillId="3" borderId="3" xfId="0" applyNumberFormat="1" applyFont="1" applyFill="1" applyBorder="1"/>
    <xf numFmtId="165" fontId="7" fillId="3" borderId="1" xfId="0" applyNumberFormat="1" applyFont="1" applyFill="1" applyBorder="1"/>
    <xf numFmtId="164" fontId="4" fillId="3" borderId="1" xfId="0" applyNumberFormat="1" applyFont="1" applyFill="1" applyBorder="1"/>
    <xf numFmtId="165" fontId="4" fillId="3" borderId="1" xfId="0" applyNumberFormat="1" applyFont="1" applyFill="1" applyBorder="1"/>
    <xf numFmtId="164" fontId="7" fillId="0" borderId="3" xfId="0" applyNumberFormat="1" applyFont="1" applyFill="1" applyBorder="1"/>
    <xf numFmtId="0" fontId="7" fillId="0" borderId="5" xfId="0" applyFont="1" applyFill="1" applyBorder="1"/>
    <xf numFmtId="0" fontId="0" fillId="0" borderId="9" xfId="0" applyFont="1" applyFill="1" applyBorder="1" applyAlignment="1">
      <alignment horizontal="center" vertical="top" wrapText="1"/>
    </xf>
    <xf numFmtId="0" fontId="0" fillId="0" borderId="0" xfId="0" applyFont="1" applyFill="1" applyBorder="1" applyAlignment="1">
      <alignment horizontal="center" vertical="top" wrapText="1"/>
    </xf>
    <xf numFmtId="164" fontId="0" fillId="4" borderId="1" xfId="0" applyNumberFormat="1" applyFill="1" applyBorder="1"/>
    <xf numFmtId="164" fontId="7" fillId="0" borderId="4" xfId="0" applyNumberFormat="1" applyFont="1" applyFill="1" applyBorder="1"/>
    <xf numFmtId="165" fontId="5" fillId="4" borderId="0" xfId="0" applyNumberFormat="1" applyFont="1" applyFill="1"/>
    <xf numFmtId="0" fontId="5" fillId="4" borderId="0" xfId="0" applyFont="1" applyFill="1"/>
    <xf numFmtId="0" fontId="4" fillId="0" borderId="0" xfId="0" applyFont="1" applyFill="1" applyBorder="1"/>
    <xf numFmtId="164" fontId="0" fillId="0" borderId="0" xfId="0" applyNumberFormat="1"/>
    <xf numFmtId="165" fontId="0" fillId="0" borderId="0" xfId="0" applyNumberFormat="1" applyFont="1" applyFill="1" applyBorder="1" applyAlignment="1">
      <alignment horizontal="center" vertical="top" wrapText="1"/>
    </xf>
    <xf numFmtId="49" fontId="4" fillId="0" borderId="0" xfId="0" applyNumberFormat="1" applyFont="1"/>
    <xf numFmtId="2" fontId="0" fillId="0" borderId="0" xfId="0" applyNumberFormat="1" applyFont="1" applyFill="1" applyBorder="1" applyAlignment="1">
      <alignment horizontal="center" vertical="top" wrapText="1"/>
    </xf>
    <xf numFmtId="2" fontId="0" fillId="0" borderId="0" xfId="0" applyNumberFormat="1"/>
    <xf numFmtId="0" fontId="4" fillId="0" borderId="0" xfId="0" applyFont="1"/>
    <xf numFmtId="0" fontId="8" fillId="0" borderId="5" xfId="0" applyFont="1" applyFill="1" applyBorder="1"/>
    <xf numFmtId="0" fontId="0" fillId="0" borderId="5" xfId="0" applyBorder="1"/>
    <xf numFmtId="0" fontId="2" fillId="0" borderId="5" xfId="0" applyFont="1" applyBorder="1"/>
    <xf numFmtId="0" fontId="2" fillId="0" borderId="0" xfId="0" applyFont="1"/>
    <xf numFmtId="0" fontId="0" fillId="0" borderId="1" xfId="0" applyBorder="1" applyAlignment="1">
      <alignment horizontal="center" vertical="top" wrapText="1"/>
    </xf>
    <xf numFmtId="0" fontId="0" fillId="0" borderId="1" xfId="0" applyBorder="1" applyAlignment="1">
      <alignment horizontal="center" vertical="top"/>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Sheet1!$X$2</c:f>
              <c:strCache>
                <c:ptCount val="1"/>
                <c:pt idx="0">
                  <c:v>SPM</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Sheet1!$W$3:$W$78</c:f>
              <c:strCache>
                <c:ptCount val="76"/>
                <c:pt idx="0">
                  <c:v>WMS-01</c:v>
                </c:pt>
                <c:pt idx="1">
                  <c:v>WMS-02</c:v>
                </c:pt>
                <c:pt idx="2">
                  <c:v>WMS-03</c:v>
                </c:pt>
                <c:pt idx="3">
                  <c:v>WMS-04</c:v>
                </c:pt>
                <c:pt idx="4">
                  <c:v>WMS-05</c:v>
                </c:pt>
                <c:pt idx="5">
                  <c:v>WMS-06</c:v>
                </c:pt>
                <c:pt idx="6">
                  <c:v>WMS-07</c:v>
                </c:pt>
                <c:pt idx="7">
                  <c:v>WMS-08</c:v>
                </c:pt>
                <c:pt idx="8">
                  <c:v>WMS-09</c:v>
                </c:pt>
                <c:pt idx="10">
                  <c:v>WMS-10</c:v>
                </c:pt>
                <c:pt idx="11">
                  <c:v>WMS-11</c:v>
                </c:pt>
                <c:pt idx="12">
                  <c:v>WMS-12</c:v>
                </c:pt>
                <c:pt idx="13">
                  <c:v>WMS-13</c:v>
                </c:pt>
                <c:pt idx="14">
                  <c:v>WMS-14</c:v>
                </c:pt>
                <c:pt idx="15">
                  <c:v>WMS-15</c:v>
                </c:pt>
                <c:pt idx="16">
                  <c:v>WMS-16</c:v>
                </c:pt>
                <c:pt idx="17">
                  <c:v>WMS-17</c:v>
                </c:pt>
                <c:pt idx="18">
                  <c:v>WMS-18</c:v>
                </c:pt>
                <c:pt idx="19">
                  <c:v>WMS-19</c:v>
                </c:pt>
                <c:pt idx="20">
                  <c:v>WMS-20</c:v>
                </c:pt>
                <c:pt idx="21">
                  <c:v>WMS-21</c:v>
                </c:pt>
                <c:pt idx="22">
                  <c:v>WMS-22</c:v>
                </c:pt>
                <c:pt idx="23">
                  <c:v>WMS-23</c:v>
                </c:pt>
                <c:pt idx="24">
                  <c:v>WMS-24</c:v>
                </c:pt>
                <c:pt idx="25">
                  <c:v>WMS-25</c:v>
                </c:pt>
                <c:pt idx="26">
                  <c:v>WMS-26</c:v>
                </c:pt>
                <c:pt idx="27">
                  <c:v>WMS-27</c:v>
                </c:pt>
                <c:pt idx="28">
                  <c:v>WMS-29</c:v>
                </c:pt>
                <c:pt idx="29">
                  <c:v>WMS-30</c:v>
                </c:pt>
                <c:pt idx="31">
                  <c:v>WMS-31</c:v>
                </c:pt>
                <c:pt idx="32">
                  <c:v>WMS-32</c:v>
                </c:pt>
                <c:pt idx="33">
                  <c:v>WMS-33</c:v>
                </c:pt>
                <c:pt idx="34">
                  <c:v>WMS-34</c:v>
                </c:pt>
                <c:pt idx="35">
                  <c:v>WMS-35</c:v>
                </c:pt>
                <c:pt idx="36">
                  <c:v>WMS-36</c:v>
                </c:pt>
                <c:pt idx="37">
                  <c:v>WMS-37</c:v>
                </c:pt>
                <c:pt idx="38">
                  <c:v>WMS-38</c:v>
                </c:pt>
                <c:pt idx="39">
                  <c:v>WMS-39</c:v>
                </c:pt>
                <c:pt idx="41">
                  <c:v>WMS-40</c:v>
                </c:pt>
                <c:pt idx="42">
                  <c:v>WMS-41</c:v>
                </c:pt>
                <c:pt idx="43">
                  <c:v>WMS-42</c:v>
                </c:pt>
                <c:pt idx="44">
                  <c:v>WMS-43</c:v>
                </c:pt>
                <c:pt idx="45">
                  <c:v>WMS-44</c:v>
                </c:pt>
                <c:pt idx="46">
                  <c:v>WMS-45</c:v>
                </c:pt>
                <c:pt idx="47">
                  <c:v>WMS-46</c:v>
                </c:pt>
                <c:pt idx="49">
                  <c:v>WMS-47</c:v>
                </c:pt>
                <c:pt idx="50">
                  <c:v>WMS-48</c:v>
                </c:pt>
                <c:pt idx="51">
                  <c:v>WMS-49</c:v>
                </c:pt>
                <c:pt idx="52">
                  <c:v>WMS-50</c:v>
                </c:pt>
                <c:pt idx="53">
                  <c:v>WMS-51</c:v>
                </c:pt>
                <c:pt idx="54">
                  <c:v>WMS-52</c:v>
                </c:pt>
                <c:pt idx="55">
                  <c:v>WMS-53</c:v>
                </c:pt>
                <c:pt idx="57">
                  <c:v>WMS-54</c:v>
                </c:pt>
                <c:pt idx="58">
                  <c:v>WMS-55</c:v>
                </c:pt>
                <c:pt idx="59">
                  <c:v>WMS-56</c:v>
                </c:pt>
                <c:pt idx="60">
                  <c:v>WMS-57</c:v>
                </c:pt>
                <c:pt idx="61">
                  <c:v>WMS-58</c:v>
                </c:pt>
                <c:pt idx="63">
                  <c:v>WMS-59</c:v>
                </c:pt>
                <c:pt idx="64">
                  <c:v>WMS-60</c:v>
                </c:pt>
                <c:pt idx="65">
                  <c:v>WMS-61</c:v>
                </c:pt>
                <c:pt idx="66">
                  <c:v>WMS-62</c:v>
                </c:pt>
                <c:pt idx="67">
                  <c:v>WMS-63</c:v>
                </c:pt>
                <c:pt idx="68">
                  <c:v>WMS-64</c:v>
                </c:pt>
                <c:pt idx="69">
                  <c:v>WMS-65</c:v>
                </c:pt>
                <c:pt idx="70">
                  <c:v>WMS-66</c:v>
                </c:pt>
                <c:pt idx="71">
                  <c:v>WMS-67</c:v>
                </c:pt>
                <c:pt idx="72">
                  <c:v>WMS-68</c:v>
                </c:pt>
                <c:pt idx="73">
                  <c:v>WMS-69</c:v>
                </c:pt>
                <c:pt idx="74">
                  <c:v>WMS-70</c:v>
                </c:pt>
                <c:pt idx="75">
                  <c:v>WMS-71</c:v>
                </c:pt>
              </c:strCache>
            </c:strRef>
          </c:cat>
          <c:val>
            <c:numRef>
              <c:f>Sheet1!$X$3:$X$78</c:f>
              <c:numCache>
                <c:formatCode>0.00</c:formatCode>
                <c:ptCount val="76"/>
                <c:pt idx="0">
                  <c:v>32.500000000000021</c:v>
                </c:pt>
                <c:pt idx="1">
                  <c:v>33.499999999999986</c:v>
                </c:pt>
                <c:pt idx="2">
                  <c:v>32.999999999999936</c:v>
                </c:pt>
                <c:pt idx="3">
                  <c:v>36.500000000000036</c:v>
                </c:pt>
                <c:pt idx="4">
                  <c:v>36.5</c:v>
                </c:pt>
                <c:pt idx="5">
                  <c:v>35.500000000000043</c:v>
                </c:pt>
                <c:pt idx="6">
                  <c:v>30.499999999999972</c:v>
                </c:pt>
                <c:pt idx="7">
                  <c:v>28.499999999999986</c:v>
                </c:pt>
                <c:pt idx="8">
                  <c:v>28.749999999999954</c:v>
                </c:pt>
                <c:pt idx="10">
                  <c:v>48.249999999999957</c:v>
                </c:pt>
                <c:pt idx="11">
                  <c:v>47.750000000000007</c:v>
                </c:pt>
                <c:pt idx="12">
                  <c:v>49.250000000000057</c:v>
                </c:pt>
                <c:pt idx="13">
                  <c:v>48.5</c:v>
                </c:pt>
                <c:pt idx="14">
                  <c:v>45.750000000000028</c:v>
                </c:pt>
                <c:pt idx="15">
                  <c:v>43.5</c:v>
                </c:pt>
                <c:pt idx="16">
                  <c:v>40.749999999999957</c:v>
                </c:pt>
                <c:pt idx="17">
                  <c:v>45.499999999999986</c:v>
                </c:pt>
                <c:pt idx="18">
                  <c:v>41.99999999999995</c:v>
                </c:pt>
                <c:pt idx="19">
                  <c:v>42.499999999999964</c:v>
                </c:pt>
                <c:pt idx="20">
                  <c:v>44.750000000000064</c:v>
                </c:pt>
                <c:pt idx="21">
                  <c:v>45.249999999999943</c:v>
                </c:pt>
                <c:pt idx="22">
                  <c:v>45.000000000000036</c:v>
                </c:pt>
                <c:pt idx="23">
                  <c:v>40.999999999999922</c:v>
                </c:pt>
                <c:pt idx="24">
                  <c:v>43.499999999999993</c:v>
                </c:pt>
                <c:pt idx="25">
                  <c:v>40.50000000000005</c:v>
                </c:pt>
                <c:pt idx="26">
                  <c:v>45.999999999999929</c:v>
                </c:pt>
                <c:pt idx="27">
                  <c:v>27.499999999999986</c:v>
                </c:pt>
                <c:pt idx="28">
                  <c:v>43.250000000000021</c:v>
                </c:pt>
                <c:pt idx="29">
                  <c:v>40.500000000000043</c:v>
                </c:pt>
                <c:pt idx="31">
                  <c:v>53.5</c:v>
                </c:pt>
                <c:pt idx="32">
                  <c:v>47.999999999999986</c:v>
                </c:pt>
                <c:pt idx="33">
                  <c:v>49.75</c:v>
                </c:pt>
                <c:pt idx="34">
                  <c:v>51.500000000000014</c:v>
                </c:pt>
                <c:pt idx="35">
                  <c:v>59.249999999999986</c:v>
                </c:pt>
                <c:pt idx="36">
                  <c:v>50.749999999999957</c:v>
                </c:pt>
                <c:pt idx="37">
                  <c:v>49.75</c:v>
                </c:pt>
                <c:pt idx="38">
                  <c:v>54.249999999999986</c:v>
                </c:pt>
                <c:pt idx="39">
                  <c:v>47.999999999999915</c:v>
                </c:pt>
                <c:pt idx="41">
                  <c:v>62.749999999999957</c:v>
                </c:pt>
                <c:pt idx="42">
                  <c:v>59.000000000000021</c:v>
                </c:pt>
                <c:pt idx="43">
                  <c:v>54.250000000000057</c:v>
                </c:pt>
                <c:pt idx="44">
                  <c:v>58.25</c:v>
                </c:pt>
                <c:pt idx="45">
                  <c:v>54.249999999999993</c:v>
                </c:pt>
                <c:pt idx="46">
                  <c:v>54.750000000000007</c:v>
                </c:pt>
                <c:pt idx="47">
                  <c:v>72.750000000000028</c:v>
                </c:pt>
                <c:pt idx="49" formatCode="General">
                  <c:v>70.749999999999972</c:v>
                </c:pt>
                <c:pt idx="50" formatCode="General">
                  <c:v>62.250000000000014</c:v>
                </c:pt>
                <c:pt idx="51" formatCode="General">
                  <c:v>58.249999999999972</c:v>
                </c:pt>
                <c:pt idx="52" formatCode="General">
                  <c:v>47.25</c:v>
                </c:pt>
                <c:pt idx="53" formatCode="General">
                  <c:v>43.499999999999929</c:v>
                </c:pt>
                <c:pt idx="54" formatCode="General">
                  <c:v>60.500000000000064</c:v>
                </c:pt>
                <c:pt idx="55" formatCode="General">
                  <c:v>64.25</c:v>
                </c:pt>
                <c:pt idx="57" formatCode="General">
                  <c:v>23.999999999999993</c:v>
                </c:pt>
                <c:pt idx="58" formatCode="General">
                  <c:v>20.000000000000014</c:v>
                </c:pt>
                <c:pt idx="59" formatCode="General">
                  <c:v>18.750000000000014</c:v>
                </c:pt>
                <c:pt idx="60" formatCode="General">
                  <c:v>20.750000000000071</c:v>
                </c:pt>
                <c:pt idx="61" formatCode="General">
                  <c:v>27.250000000000014</c:v>
                </c:pt>
                <c:pt idx="63" formatCode="General">
                  <c:v>29.499999999999943</c:v>
                </c:pt>
                <c:pt idx="64" formatCode="General">
                  <c:v>28.000000000000039</c:v>
                </c:pt>
                <c:pt idx="65" formatCode="General">
                  <c:v>28.499999999999982</c:v>
                </c:pt>
                <c:pt idx="66" formatCode="General">
                  <c:v>27.499999999999954</c:v>
                </c:pt>
                <c:pt idx="67" formatCode="General">
                  <c:v>26.500000000000064</c:v>
                </c:pt>
                <c:pt idx="68" formatCode="General">
                  <c:v>32.500000000000028</c:v>
                </c:pt>
                <c:pt idx="69" formatCode="General">
                  <c:v>33.500000000000057</c:v>
                </c:pt>
                <c:pt idx="70" formatCode="General">
                  <c:v>32.500000000000021</c:v>
                </c:pt>
                <c:pt idx="71" formatCode="General">
                  <c:v>32.250000000000057</c:v>
                </c:pt>
                <c:pt idx="72" formatCode="General">
                  <c:v>27.500000000000021</c:v>
                </c:pt>
                <c:pt idx="73" formatCode="General">
                  <c:v>33.000000000000043</c:v>
                </c:pt>
                <c:pt idx="74" formatCode="General">
                  <c:v>35.500000000000043</c:v>
                </c:pt>
                <c:pt idx="75" formatCode="General">
                  <c:v>30.500000000000039</c:v>
                </c:pt>
              </c:numCache>
            </c:numRef>
          </c:val>
          <c:smooth val="0"/>
          <c:extLst>
            <c:ext xmlns:c16="http://schemas.microsoft.com/office/drawing/2014/chart" uri="{C3380CC4-5D6E-409C-BE32-E72D297353CC}">
              <c16:uniqueId val="{00000000-1166-48F5-819B-B2E07B0A5BB0}"/>
            </c:ext>
          </c:extLst>
        </c:ser>
        <c:ser>
          <c:idx val="1"/>
          <c:order val="1"/>
          <c:tx>
            <c:strRef>
              <c:f>Sheet1!$Y$2</c:f>
              <c:strCache>
                <c:ptCount val="1"/>
                <c:pt idx="0">
                  <c:v>SPIM</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Sheet1!$W$3:$W$78</c:f>
              <c:strCache>
                <c:ptCount val="76"/>
                <c:pt idx="0">
                  <c:v>WMS-01</c:v>
                </c:pt>
                <c:pt idx="1">
                  <c:v>WMS-02</c:v>
                </c:pt>
                <c:pt idx="2">
                  <c:v>WMS-03</c:v>
                </c:pt>
                <c:pt idx="3">
                  <c:v>WMS-04</c:v>
                </c:pt>
                <c:pt idx="4">
                  <c:v>WMS-05</c:v>
                </c:pt>
                <c:pt idx="5">
                  <c:v>WMS-06</c:v>
                </c:pt>
                <c:pt idx="6">
                  <c:v>WMS-07</c:v>
                </c:pt>
                <c:pt idx="7">
                  <c:v>WMS-08</c:v>
                </c:pt>
                <c:pt idx="8">
                  <c:v>WMS-09</c:v>
                </c:pt>
                <c:pt idx="10">
                  <c:v>WMS-10</c:v>
                </c:pt>
                <c:pt idx="11">
                  <c:v>WMS-11</c:v>
                </c:pt>
                <c:pt idx="12">
                  <c:v>WMS-12</c:v>
                </c:pt>
                <c:pt idx="13">
                  <c:v>WMS-13</c:v>
                </c:pt>
                <c:pt idx="14">
                  <c:v>WMS-14</c:v>
                </c:pt>
                <c:pt idx="15">
                  <c:v>WMS-15</c:v>
                </c:pt>
                <c:pt idx="16">
                  <c:v>WMS-16</c:v>
                </c:pt>
                <c:pt idx="17">
                  <c:v>WMS-17</c:v>
                </c:pt>
                <c:pt idx="18">
                  <c:v>WMS-18</c:v>
                </c:pt>
                <c:pt idx="19">
                  <c:v>WMS-19</c:v>
                </c:pt>
                <c:pt idx="20">
                  <c:v>WMS-20</c:v>
                </c:pt>
                <c:pt idx="21">
                  <c:v>WMS-21</c:v>
                </c:pt>
                <c:pt idx="22">
                  <c:v>WMS-22</c:v>
                </c:pt>
                <c:pt idx="23">
                  <c:v>WMS-23</c:v>
                </c:pt>
                <c:pt idx="24">
                  <c:v>WMS-24</c:v>
                </c:pt>
                <c:pt idx="25">
                  <c:v>WMS-25</c:v>
                </c:pt>
                <c:pt idx="26">
                  <c:v>WMS-26</c:v>
                </c:pt>
                <c:pt idx="27">
                  <c:v>WMS-27</c:v>
                </c:pt>
                <c:pt idx="28">
                  <c:v>WMS-29</c:v>
                </c:pt>
                <c:pt idx="29">
                  <c:v>WMS-30</c:v>
                </c:pt>
                <c:pt idx="31">
                  <c:v>WMS-31</c:v>
                </c:pt>
                <c:pt idx="32">
                  <c:v>WMS-32</c:v>
                </c:pt>
                <c:pt idx="33">
                  <c:v>WMS-33</c:v>
                </c:pt>
                <c:pt idx="34">
                  <c:v>WMS-34</c:v>
                </c:pt>
                <c:pt idx="35">
                  <c:v>WMS-35</c:v>
                </c:pt>
                <c:pt idx="36">
                  <c:v>WMS-36</c:v>
                </c:pt>
                <c:pt idx="37">
                  <c:v>WMS-37</c:v>
                </c:pt>
                <c:pt idx="38">
                  <c:v>WMS-38</c:v>
                </c:pt>
                <c:pt idx="39">
                  <c:v>WMS-39</c:v>
                </c:pt>
                <c:pt idx="41">
                  <c:v>WMS-40</c:v>
                </c:pt>
                <c:pt idx="42">
                  <c:v>WMS-41</c:v>
                </c:pt>
                <c:pt idx="43">
                  <c:v>WMS-42</c:v>
                </c:pt>
                <c:pt idx="44">
                  <c:v>WMS-43</c:v>
                </c:pt>
                <c:pt idx="45">
                  <c:v>WMS-44</c:v>
                </c:pt>
                <c:pt idx="46">
                  <c:v>WMS-45</c:v>
                </c:pt>
                <c:pt idx="47">
                  <c:v>WMS-46</c:v>
                </c:pt>
                <c:pt idx="49">
                  <c:v>WMS-47</c:v>
                </c:pt>
                <c:pt idx="50">
                  <c:v>WMS-48</c:v>
                </c:pt>
                <c:pt idx="51">
                  <c:v>WMS-49</c:v>
                </c:pt>
                <c:pt idx="52">
                  <c:v>WMS-50</c:v>
                </c:pt>
                <c:pt idx="53">
                  <c:v>WMS-51</c:v>
                </c:pt>
                <c:pt idx="54">
                  <c:v>WMS-52</c:v>
                </c:pt>
                <c:pt idx="55">
                  <c:v>WMS-53</c:v>
                </c:pt>
                <c:pt idx="57">
                  <c:v>WMS-54</c:v>
                </c:pt>
                <c:pt idx="58">
                  <c:v>WMS-55</c:v>
                </c:pt>
                <c:pt idx="59">
                  <c:v>WMS-56</c:v>
                </c:pt>
                <c:pt idx="60">
                  <c:v>WMS-57</c:v>
                </c:pt>
                <c:pt idx="61">
                  <c:v>WMS-58</c:v>
                </c:pt>
                <c:pt idx="63">
                  <c:v>WMS-59</c:v>
                </c:pt>
                <c:pt idx="64">
                  <c:v>WMS-60</c:v>
                </c:pt>
                <c:pt idx="65">
                  <c:v>WMS-61</c:v>
                </c:pt>
                <c:pt idx="66">
                  <c:v>WMS-62</c:v>
                </c:pt>
                <c:pt idx="67">
                  <c:v>WMS-63</c:v>
                </c:pt>
                <c:pt idx="68">
                  <c:v>WMS-64</c:v>
                </c:pt>
                <c:pt idx="69">
                  <c:v>WMS-65</c:v>
                </c:pt>
                <c:pt idx="70">
                  <c:v>WMS-66</c:v>
                </c:pt>
                <c:pt idx="71">
                  <c:v>WMS-67</c:v>
                </c:pt>
                <c:pt idx="72">
                  <c:v>WMS-68</c:v>
                </c:pt>
                <c:pt idx="73">
                  <c:v>WMS-69</c:v>
                </c:pt>
                <c:pt idx="74">
                  <c:v>WMS-70</c:v>
                </c:pt>
                <c:pt idx="75">
                  <c:v>WMS-71</c:v>
                </c:pt>
              </c:strCache>
            </c:strRef>
          </c:cat>
          <c:val>
            <c:numRef>
              <c:f>Sheet1!$Y$3:$Y$78</c:f>
              <c:numCache>
                <c:formatCode>0.00</c:formatCode>
                <c:ptCount val="76"/>
                <c:pt idx="0">
                  <c:v>28.249999999999936</c:v>
                </c:pt>
                <c:pt idx="1">
                  <c:v>28.749999999999954</c:v>
                </c:pt>
                <c:pt idx="2">
                  <c:v>27.000000000000043</c:v>
                </c:pt>
                <c:pt idx="3">
                  <c:v>28.750000000000053</c:v>
                </c:pt>
                <c:pt idx="4">
                  <c:v>29.249999999999694</c:v>
                </c:pt>
                <c:pt idx="5">
                  <c:v>28.750000000000231</c:v>
                </c:pt>
                <c:pt idx="6">
                  <c:v>22.749999999999993</c:v>
                </c:pt>
                <c:pt idx="7">
                  <c:v>21.250000000000227</c:v>
                </c:pt>
                <c:pt idx="8">
                  <c:v>21.749999999999893</c:v>
                </c:pt>
                <c:pt idx="10">
                  <c:v>38.500000000000483</c:v>
                </c:pt>
                <c:pt idx="11">
                  <c:v>37.500000000000028</c:v>
                </c:pt>
                <c:pt idx="12">
                  <c:v>39.75000000000054</c:v>
                </c:pt>
                <c:pt idx="13">
                  <c:v>38.250000000000014</c:v>
                </c:pt>
                <c:pt idx="14">
                  <c:v>35.500000000000043</c:v>
                </c:pt>
                <c:pt idx="15">
                  <c:v>31.999999999999876</c:v>
                </c:pt>
                <c:pt idx="16">
                  <c:v>30.499999999999972</c:v>
                </c:pt>
                <c:pt idx="17">
                  <c:v>35.000000000000028</c:v>
                </c:pt>
                <c:pt idx="18">
                  <c:v>28.250000000000078</c:v>
                </c:pt>
                <c:pt idx="19">
                  <c:v>27.49999999999995</c:v>
                </c:pt>
                <c:pt idx="20">
                  <c:v>28.75000000000016</c:v>
                </c:pt>
                <c:pt idx="21">
                  <c:v>28.749999999999819</c:v>
                </c:pt>
                <c:pt idx="22">
                  <c:v>29.75000000000005</c:v>
                </c:pt>
                <c:pt idx="23">
                  <c:v>35.000000000000028</c:v>
                </c:pt>
                <c:pt idx="24">
                  <c:v>29.249999999999901</c:v>
                </c:pt>
                <c:pt idx="25">
                  <c:v>27.000000000000149</c:v>
                </c:pt>
                <c:pt idx="26">
                  <c:v>28.999999999999858</c:v>
                </c:pt>
                <c:pt idx="27">
                  <c:v>14.25000000000006</c:v>
                </c:pt>
                <c:pt idx="28">
                  <c:v>33.250000000000014</c:v>
                </c:pt>
                <c:pt idx="29">
                  <c:v>31.500000000000206</c:v>
                </c:pt>
                <c:pt idx="31">
                  <c:v>42.500000000000107</c:v>
                </c:pt>
                <c:pt idx="32">
                  <c:v>36.000000000000199</c:v>
                </c:pt>
                <c:pt idx="33">
                  <c:v>34.250000000000043</c:v>
                </c:pt>
                <c:pt idx="34">
                  <c:v>33.250000000000085</c:v>
                </c:pt>
                <c:pt idx="35">
                  <c:v>42.999999999999559</c:v>
                </c:pt>
                <c:pt idx="36">
                  <c:v>40.000000000000028</c:v>
                </c:pt>
                <c:pt idx="37">
                  <c:v>39.500000000000014</c:v>
                </c:pt>
                <c:pt idx="38">
                  <c:v>45.249999999999872</c:v>
                </c:pt>
                <c:pt idx="39">
                  <c:v>38.499999999999851</c:v>
                </c:pt>
                <c:pt idx="41">
                  <c:v>52.999999999999922</c:v>
                </c:pt>
                <c:pt idx="42">
                  <c:v>48.500000000000071</c:v>
                </c:pt>
                <c:pt idx="43">
                  <c:v>44.000000000000071</c:v>
                </c:pt>
                <c:pt idx="44">
                  <c:v>44.500000000000128</c:v>
                </c:pt>
                <c:pt idx="45">
                  <c:v>43.500000000000071</c:v>
                </c:pt>
                <c:pt idx="46">
                  <c:v>43.000000000000185</c:v>
                </c:pt>
                <c:pt idx="47">
                  <c:v>58.750000000000462</c:v>
                </c:pt>
                <c:pt idx="49" formatCode="General">
                  <c:v>49.499999999999538</c:v>
                </c:pt>
                <c:pt idx="50" formatCode="General">
                  <c:v>44.500000000000298</c:v>
                </c:pt>
                <c:pt idx="51" formatCode="General">
                  <c:v>40.499999999999702</c:v>
                </c:pt>
                <c:pt idx="52" formatCode="General">
                  <c:v>31.75000000000032</c:v>
                </c:pt>
                <c:pt idx="53" formatCode="General">
                  <c:v>25.749999999999936</c:v>
                </c:pt>
                <c:pt idx="54" formatCode="General">
                  <c:v>42.999999999999773</c:v>
                </c:pt>
                <c:pt idx="55" formatCode="General">
                  <c:v>44.500000000000227</c:v>
                </c:pt>
                <c:pt idx="57" formatCode="General">
                  <c:v>15.00000000000043</c:v>
                </c:pt>
                <c:pt idx="58" formatCode="General">
                  <c:v>11.750000000000369</c:v>
                </c:pt>
                <c:pt idx="59" formatCode="General">
                  <c:v>8.7500000000000071</c:v>
                </c:pt>
                <c:pt idx="60" formatCode="General">
                  <c:v>11.000000000000313</c:v>
                </c:pt>
                <c:pt idx="61" formatCode="General">
                  <c:v>17.499999999999979</c:v>
                </c:pt>
                <c:pt idx="63" formatCode="General">
                  <c:v>17.00000000000021</c:v>
                </c:pt>
                <c:pt idx="64" formatCode="General">
                  <c:v>15.249999999999778</c:v>
                </c:pt>
                <c:pt idx="65" formatCode="General">
                  <c:v>15.75</c:v>
                </c:pt>
                <c:pt idx="66" formatCode="General">
                  <c:v>13.499999999999829</c:v>
                </c:pt>
                <c:pt idx="67" formatCode="General">
                  <c:v>11.999999999999996</c:v>
                </c:pt>
                <c:pt idx="68" formatCode="General">
                  <c:v>19.249999999999268</c:v>
                </c:pt>
                <c:pt idx="69" formatCode="General">
                  <c:v>17.000000000000206</c:v>
                </c:pt>
                <c:pt idx="70" formatCode="General">
                  <c:v>19.249999999999815</c:v>
                </c:pt>
                <c:pt idx="71" formatCode="General">
                  <c:v>19.249999999999822</c:v>
                </c:pt>
                <c:pt idx="72" formatCode="General">
                  <c:v>12.750000000000536</c:v>
                </c:pt>
                <c:pt idx="73" formatCode="General">
                  <c:v>19.000000000000473</c:v>
                </c:pt>
                <c:pt idx="74" formatCode="General">
                  <c:v>20.250000000000057</c:v>
                </c:pt>
                <c:pt idx="75" formatCode="General">
                  <c:v>17.999999999999751</c:v>
                </c:pt>
              </c:numCache>
            </c:numRef>
          </c:val>
          <c:smooth val="0"/>
          <c:extLst>
            <c:ext xmlns:c16="http://schemas.microsoft.com/office/drawing/2014/chart" uri="{C3380CC4-5D6E-409C-BE32-E72D297353CC}">
              <c16:uniqueId val="{00000001-1166-48F5-819B-B2E07B0A5BB0}"/>
            </c:ext>
          </c:extLst>
        </c:ser>
        <c:ser>
          <c:idx val="2"/>
          <c:order val="2"/>
          <c:tx>
            <c:strRef>
              <c:f>Sheet1!$Z$2</c:f>
              <c:strCache>
                <c:ptCount val="1"/>
                <c:pt idx="0">
                  <c:v>SPOM</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Sheet1!$W$3:$W$78</c:f>
              <c:strCache>
                <c:ptCount val="76"/>
                <c:pt idx="0">
                  <c:v>WMS-01</c:v>
                </c:pt>
                <c:pt idx="1">
                  <c:v>WMS-02</c:v>
                </c:pt>
                <c:pt idx="2">
                  <c:v>WMS-03</c:v>
                </c:pt>
                <c:pt idx="3">
                  <c:v>WMS-04</c:v>
                </c:pt>
                <c:pt idx="4">
                  <c:v>WMS-05</c:v>
                </c:pt>
                <c:pt idx="5">
                  <c:v>WMS-06</c:v>
                </c:pt>
                <c:pt idx="6">
                  <c:v>WMS-07</c:v>
                </c:pt>
                <c:pt idx="7">
                  <c:v>WMS-08</c:v>
                </c:pt>
                <c:pt idx="8">
                  <c:v>WMS-09</c:v>
                </c:pt>
                <c:pt idx="10">
                  <c:v>WMS-10</c:v>
                </c:pt>
                <c:pt idx="11">
                  <c:v>WMS-11</c:v>
                </c:pt>
                <c:pt idx="12">
                  <c:v>WMS-12</c:v>
                </c:pt>
                <c:pt idx="13">
                  <c:v>WMS-13</c:v>
                </c:pt>
                <c:pt idx="14">
                  <c:v>WMS-14</c:v>
                </c:pt>
                <c:pt idx="15">
                  <c:v>WMS-15</c:v>
                </c:pt>
                <c:pt idx="16">
                  <c:v>WMS-16</c:v>
                </c:pt>
                <c:pt idx="17">
                  <c:v>WMS-17</c:v>
                </c:pt>
                <c:pt idx="18">
                  <c:v>WMS-18</c:v>
                </c:pt>
                <c:pt idx="19">
                  <c:v>WMS-19</c:v>
                </c:pt>
                <c:pt idx="20">
                  <c:v>WMS-20</c:v>
                </c:pt>
                <c:pt idx="21">
                  <c:v>WMS-21</c:v>
                </c:pt>
                <c:pt idx="22">
                  <c:v>WMS-22</c:v>
                </c:pt>
                <c:pt idx="23">
                  <c:v>WMS-23</c:v>
                </c:pt>
                <c:pt idx="24">
                  <c:v>WMS-24</c:v>
                </c:pt>
                <c:pt idx="25">
                  <c:v>WMS-25</c:v>
                </c:pt>
                <c:pt idx="26">
                  <c:v>WMS-26</c:v>
                </c:pt>
                <c:pt idx="27">
                  <c:v>WMS-27</c:v>
                </c:pt>
                <c:pt idx="28">
                  <c:v>WMS-29</c:v>
                </c:pt>
                <c:pt idx="29">
                  <c:v>WMS-30</c:v>
                </c:pt>
                <c:pt idx="31">
                  <c:v>WMS-31</c:v>
                </c:pt>
                <c:pt idx="32">
                  <c:v>WMS-32</c:v>
                </c:pt>
                <c:pt idx="33">
                  <c:v>WMS-33</c:v>
                </c:pt>
                <c:pt idx="34">
                  <c:v>WMS-34</c:v>
                </c:pt>
                <c:pt idx="35">
                  <c:v>WMS-35</c:v>
                </c:pt>
                <c:pt idx="36">
                  <c:v>WMS-36</c:v>
                </c:pt>
                <c:pt idx="37">
                  <c:v>WMS-37</c:v>
                </c:pt>
                <c:pt idx="38">
                  <c:v>WMS-38</c:v>
                </c:pt>
                <c:pt idx="39">
                  <c:v>WMS-39</c:v>
                </c:pt>
                <c:pt idx="41">
                  <c:v>WMS-40</c:v>
                </c:pt>
                <c:pt idx="42">
                  <c:v>WMS-41</c:v>
                </c:pt>
                <c:pt idx="43">
                  <c:v>WMS-42</c:v>
                </c:pt>
                <c:pt idx="44">
                  <c:v>WMS-43</c:v>
                </c:pt>
                <c:pt idx="45">
                  <c:v>WMS-44</c:v>
                </c:pt>
                <c:pt idx="46">
                  <c:v>WMS-45</c:v>
                </c:pt>
                <c:pt idx="47">
                  <c:v>WMS-46</c:v>
                </c:pt>
                <c:pt idx="49">
                  <c:v>WMS-47</c:v>
                </c:pt>
                <c:pt idx="50">
                  <c:v>WMS-48</c:v>
                </c:pt>
                <c:pt idx="51">
                  <c:v>WMS-49</c:v>
                </c:pt>
                <c:pt idx="52">
                  <c:v>WMS-50</c:v>
                </c:pt>
                <c:pt idx="53">
                  <c:v>WMS-51</c:v>
                </c:pt>
                <c:pt idx="54">
                  <c:v>WMS-52</c:v>
                </c:pt>
                <c:pt idx="55">
                  <c:v>WMS-53</c:v>
                </c:pt>
                <c:pt idx="57">
                  <c:v>WMS-54</c:v>
                </c:pt>
                <c:pt idx="58">
                  <c:v>WMS-55</c:v>
                </c:pt>
                <c:pt idx="59">
                  <c:v>WMS-56</c:v>
                </c:pt>
                <c:pt idx="60">
                  <c:v>WMS-57</c:v>
                </c:pt>
                <c:pt idx="61">
                  <c:v>WMS-58</c:v>
                </c:pt>
                <c:pt idx="63">
                  <c:v>WMS-59</c:v>
                </c:pt>
                <c:pt idx="64">
                  <c:v>WMS-60</c:v>
                </c:pt>
                <c:pt idx="65">
                  <c:v>WMS-61</c:v>
                </c:pt>
                <c:pt idx="66">
                  <c:v>WMS-62</c:v>
                </c:pt>
                <c:pt idx="67">
                  <c:v>WMS-63</c:v>
                </c:pt>
                <c:pt idx="68">
                  <c:v>WMS-64</c:v>
                </c:pt>
                <c:pt idx="69">
                  <c:v>WMS-65</c:v>
                </c:pt>
                <c:pt idx="70">
                  <c:v>WMS-66</c:v>
                </c:pt>
                <c:pt idx="71">
                  <c:v>WMS-67</c:v>
                </c:pt>
                <c:pt idx="72">
                  <c:v>WMS-68</c:v>
                </c:pt>
                <c:pt idx="73">
                  <c:v>WMS-69</c:v>
                </c:pt>
                <c:pt idx="74">
                  <c:v>WMS-70</c:v>
                </c:pt>
                <c:pt idx="75">
                  <c:v>WMS-71</c:v>
                </c:pt>
              </c:strCache>
            </c:strRef>
          </c:cat>
          <c:val>
            <c:numRef>
              <c:f>Sheet1!$Z$3:$Z$78</c:f>
              <c:numCache>
                <c:formatCode>0.00</c:formatCode>
                <c:ptCount val="76"/>
                <c:pt idx="0">
                  <c:v>4.2500000000000897</c:v>
                </c:pt>
                <c:pt idx="1">
                  <c:v>4.750000000000032</c:v>
                </c:pt>
                <c:pt idx="2">
                  <c:v>5.9999999999998943</c:v>
                </c:pt>
                <c:pt idx="3">
                  <c:v>7.7499999999999787</c:v>
                </c:pt>
                <c:pt idx="4">
                  <c:v>7.2500000000003118</c:v>
                </c:pt>
                <c:pt idx="5">
                  <c:v>6.7499999999998117</c:v>
                </c:pt>
                <c:pt idx="6">
                  <c:v>7.7499999999999787</c:v>
                </c:pt>
                <c:pt idx="7">
                  <c:v>7.2499999999997566</c:v>
                </c:pt>
                <c:pt idx="8">
                  <c:v>7.0000000000000622</c:v>
                </c:pt>
                <c:pt idx="10">
                  <c:v>9.7499999999994813</c:v>
                </c:pt>
                <c:pt idx="11">
                  <c:v>10.249999999999982</c:v>
                </c:pt>
                <c:pt idx="12">
                  <c:v>9.4999999999995097</c:v>
                </c:pt>
                <c:pt idx="13">
                  <c:v>10.249999999999982</c:v>
                </c:pt>
                <c:pt idx="14">
                  <c:v>10.249999999999982</c:v>
                </c:pt>
                <c:pt idx="15">
                  <c:v>11.500000000000121</c:v>
                </c:pt>
                <c:pt idx="16">
                  <c:v>10.249999999999982</c:v>
                </c:pt>
                <c:pt idx="17">
                  <c:v>10.499999999999954</c:v>
                </c:pt>
                <c:pt idx="18">
                  <c:v>13.749999999999872</c:v>
                </c:pt>
                <c:pt idx="19">
                  <c:v>15.000000000000012</c:v>
                </c:pt>
                <c:pt idx="20">
                  <c:v>15.999999999999902</c:v>
                </c:pt>
                <c:pt idx="21">
                  <c:v>16.500000000000124</c:v>
                </c:pt>
                <c:pt idx="22">
                  <c:v>15.249999999999986</c:v>
                </c:pt>
                <c:pt idx="23">
                  <c:v>5.9999999999998943</c:v>
                </c:pt>
                <c:pt idx="24">
                  <c:v>14.250000000000096</c:v>
                </c:pt>
                <c:pt idx="25">
                  <c:v>13.499999999999901</c:v>
                </c:pt>
                <c:pt idx="26">
                  <c:v>17.000000000000071</c:v>
                </c:pt>
                <c:pt idx="27">
                  <c:v>13.249999999999929</c:v>
                </c:pt>
                <c:pt idx="28">
                  <c:v>10.000000000000009</c:v>
                </c:pt>
                <c:pt idx="29">
                  <c:v>8.9999999999998419</c:v>
                </c:pt>
                <c:pt idx="31">
                  <c:v>10.999999999999899</c:v>
                </c:pt>
                <c:pt idx="32">
                  <c:v>11.999999999999789</c:v>
                </c:pt>
                <c:pt idx="33">
                  <c:v>15.499999999999957</c:v>
                </c:pt>
                <c:pt idx="34">
                  <c:v>18.249999999999929</c:v>
                </c:pt>
                <c:pt idx="35">
                  <c:v>16.25000000000043</c:v>
                </c:pt>
                <c:pt idx="36">
                  <c:v>10.749999999999925</c:v>
                </c:pt>
                <c:pt idx="37">
                  <c:v>10.249999999999982</c:v>
                </c:pt>
                <c:pt idx="38">
                  <c:v>9.000000000000119</c:v>
                </c:pt>
                <c:pt idx="39">
                  <c:v>9.5000000000000639</c:v>
                </c:pt>
                <c:pt idx="41">
                  <c:v>9.7500000000000355</c:v>
                </c:pt>
                <c:pt idx="42">
                  <c:v>10.499999999999954</c:v>
                </c:pt>
                <c:pt idx="43">
                  <c:v>10.249999999999982</c:v>
                </c:pt>
                <c:pt idx="44">
                  <c:v>13.749999999999872</c:v>
                </c:pt>
                <c:pt idx="45">
                  <c:v>10.749999999999925</c:v>
                </c:pt>
                <c:pt idx="46">
                  <c:v>11.749999999999815</c:v>
                </c:pt>
                <c:pt idx="47">
                  <c:v>13.999999999999568</c:v>
                </c:pt>
                <c:pt idx="49" formatCode="General">
                  <c:v>21.250000000000433</c:v>
                </c:pt>
                <c:pt idx="50" formatCode="General">
                  <c:v>17.749999999999709</c:v>
                </c:pt>
                <c:pt idx="51" formatCode="General">
                  <c:v>17.750000000000263</c:v>
                </c:pt>
                <c:pt idx="52" formatCode="General">
                  <c:v>15.49999999999968</c:v>
                </c:pt>
                <c:pt idx="53" formatCode="General">
                  <c:v>17.749999999999986</c:v>
                </c:pt>
                <c:pt idx="54" formatCode="General">
                  <c:v>17.500000000000291</c:v>
                </c:pt>
                <c:pt idx="55" formatCode="General">
                  <c:v>19.749999999999766</c:v>
                </c:pt>
                <c:pt idx="57" formatCode="General">
                  <c:v>8.999999999999563</c:v>
                </c:pt>
                <c:pt idx="58" formatCode="General">
                  <c:v>8.2499999999996465</c:v>
                </c:pt>
                <c:pt idx="59" formatCode="General">
                  <c:v>10.000000000000009</c:v>
                </c:pt>
                <c:pt idx="60" formatCode="General">
                  <c:v>9.7499999999997584</c:v>
                </c:pt>
                <c:pt idx="61" formatCode="General">
                  <c:v>9.7500000000000355</c:v>
                </c:pt>
                <c:pt idx="63" formatCode="General">
                  <c:v>12.499999999999734</c:v>
                </c:pt>
                <c:pt idx="64" formatCode="General">
                  <c:v>12.750000000000261</c:v>
                </c:pt>
                <c:pt idx="65" formatCode="General">
                  <c:v>12.749999999999982</c:v>
                </c:pt>
                <c:pt idx="66" formatCode="General">
                  <c:v>14.000000000000124</c:v>
                </c:pt>
                <c:pt idx="67" formatCode="General">
                  <c:v>14.500000000000068</c:v>
                </c:pt>
                <c:pt idx="68" formatCode="General">
                  <c:v>13.25000000000076</c:v>
                </c:pt>
                <c:pt idx="69" formatCode="General">
                  <c:v>16.499999999999847</c:v>
                </c:pt>
                <c:pt idx="70" formatCode="General">
                  <c:v>13.250000000000206</c:v>
                </c:pt>
                <c:pt idx="71" formatCode="General">
                  <c:v>13.000000000000234</c:v>
                </c:pt>
                <c:pt idx="72" formatCode="General">
                  <c:v>14.749999999999485</c:v>
                </c:pt>
                <c:pt idx="73" formatCode="General">
                  <c:v>13.999999999999568</c:v>
                </c:pt>
                <c:pt idx="74" formatCode="General">
                  <c:v>15.249999999999986</c:v>
                </c:pt>
                <c:pt idx="75" formatCode="General">
                  <c:v>12.500000000000288</c:v>
                </c:pt>
              </c:numCache>
            </c:numRef>
          </c:val>
          <c:smooth val="0"/>
          <c:extLst>
            <c:ext xmlns:c16="http://schemas.microsoft.com/office/drawing/2014/chart" uri="{C3380CC4-5D6E-409C-BE32-E72D297353CC}">
              <c16:uniqueId val="{00000002-1166-48F5-819B-B2E07B0A5BB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84228560"/>
        <c:axId val="-484231280"/>
      </c:lineChart>
      <c:catAx>
        <c:axId val="-4842285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600" b="0" i="0" u="none" strike="noStrike" kern="1200" spc="20" baseline="0">
                <a:solidFill>
                  <a:schemeClr val="dk1">
                    <a:lumMod val="65000"/>
                    <a:lumOff val="35000"/>
                  </a:schemeClr>
                </a:solidFill>
                <a:latin typeface="+mn-lt"/>
                <a:ea typeface="+mn-ea"/>
                <a:cs typeface="+mn-cs"/>
              </a:defRPr>
            </a:pPr>
            <a:endParaRPr lang="en-US"/>
          </a:p>
        </c:txPr>
        <c:crossAx val="-484231280"/>
        <c:crosses val="autoZero"/>
        <c:auto val="1"/>
        <c:lblAlgn val="ctr"/>
        <c:lblOffset val="100"/>
        <c:tickLblSkip val="1"/>
        <c:noMultiLvlLbl val="0"/>
      </c:catAx>
      <c:valAx>
        <c:axId val="-48423128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spc="20" baseline="0">
                <a:solidFill>
                  <a:schemeClr val="dk1">
                    <a:lumMod val="65000"/>
                    <a:lumOff val="35000"/>
                  </a:schemeClr>
                </a:solidFill>
                <a:latin typeface="+mn-lt"/>
                <a:ea typeface="+mn-ea"/>
                <a:cs typeface="+mn-cs"/>
              </a:defRPr>
            </a:pPr>
            <a:endParaRPr lang="en-US"/>
          </a:p>
        </c:txPr>
        <c:crossAx val="-484228560"/>
        <c:crosses val="autoZero"/>
        <c:crossBetween val="between"/>
      </c:valAx>
      <c:spPr>
        <a:gradFill>
          <a:gsLst>
            <a:gs pos="100000">
              <a:schemeClr val="lt1">
                <a:lumMod val="95000"/>
              </a:schemeClr>
            </a:gs>
            <a:gs pos="0">
              <a:schemeClr val="lt1"/>
            </a:gs>
          </a:gsLst>
          <a:lin ang="5400000" scaled="0"/>
        </a:gradFill>
        <a:ln>
          <a:solidFill>
            <a:schemeClr val="bg1">
              <a:lumMod val="75000"/>
            </a:schemeClr>
          </a:solidFill>
        </a:ln>
        <a:effectLst/>
      </c:spPr>
    </c:plotArea>
    <c:legend>
      <c:legendPos val="b"/>
      <c:layout>
        <c:manualLayout>
          <c:xMode val="edge"/>
          <c:yMode val="edge"/>
          <c:x val="5.9227257156234614E-2"/>
          <c:y val="3.5042089811950505E-2"/>
          <c:w val="0.10931942836657986"/>
          <c:h val="0.1410965865149788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1600"/>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59"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9364" cy="6296186"/>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64"/>
  <sheetViews>
    <sheetView topLeftCell="J1" workbookViewId="0">
      <pane ySplit="1" topLeftCell="A68" activePane="bottomLeft" state="frozen"/>
      <selection pane="bottomLeft" activeCell="W2" sqref="W2:Z78"/>
    </sheetView>
  </sheetViews>
  <sheetFormatPr defaultColWidth="8.85546875" defaultRowHeight="12.75" x14ac:dyDescent="0.2"/>
  <cols>
    <col min="2" max="2" width="14.42578125" bestFit="1" customWidth="1"/>
    <col min="3" max="3" width="10.140625" bestFit="1" customWidth="1"/>
    <col min="5" max="6" width="9.42578125" bestFit="1" customWidth="1"/>
    <col min="10" max="11" width="9.140625" bestFit="1" customWidth="1"/>
    <col min="12" max="12" width="11.140625" bestFit="1" customWidth="1"/>
    <col min="13" max="13" width="9.140625" bestFit="1" customWidth="1"/>
  </cols>
  <sheetData>
    <row r="1" spans="1:28" x14ac:dyDescent="0.2">
      <c r="A1" s="73" t="s">
        <v>0</v>
      </c>
      <c r="B1" s="73" t="s">
        <v>1</v>
      </c>
      <c r="C1" s="73" t="s">
        <v>2</v>
      </c>
      <c r="D1" s="73" t="s">
        <v>3</v>
      </c>
      <c r="E1" s="73" t="s">
        <v>6</v>
      </c>
      <c r="F1" s="73" t="s">
        <v>7</v>
      </c>
      <c r="G1" s="73" t="s">
        <v>8</v>
      </c>
      <c r="H1" s="73" t="s">
        <v>4</v>
      </c>
      <c r="I1" s="74" t="s">
        <v>5</v>
      </c>
      <c r="J1" s="74"/>
      <c r="K1" s="74"/>
      <c r="L1" s="74"/>
      <c r="M1" s="73" t="s">
        <v>175</v>
      </c>
    </row>
    <row r="2" spans="1:28" ht="51" x14ac:dyDescent="0.2">
      <c r="A2" s="73"/>
      <c r="B2" s="73"/>
      <c r="C2" s="73"/>
      <c r="D2" s="73"/>
      <c r="E2" s="73"/>
      <c r="F2" s="73"/>
      <c r="G2" s="73"/>
      <c r="H2" s="73"/>
      <c r="I2" s="1" t="s">
        <v>9</v>
      </c>
      <c r="J2" s="1" t="s">
        <v>10</v>
      </c>
      <c r="K2" s="1" t="s">
        <v>176</v>
      </c>
      <c r="L2" s="1" t="s">
        <v>177</v>
      </c>
      <c r="M2" s="73"/>
      <c r="O2" s="56" t="s">
        <v>27</v>
      </c>
      <c r="P2" s="56" t="s">
        <v>122</v>
      </c>
      <c r="Q2" s="56" t="s">
        <v>120</v>
      </c>
      <c r="R2" s="56" t="s">
        <v>121</v>
      </c>
      <c r="W2" s="68" t="s">
        <v>172</v>
      </c>
      <c r="X2" s="68" t="s">
        <v>122</v>
      </c>
      <c r="Y2" s="68" t="s">
        <v>173</v>
      </c>
      <c r="Z2" s="68" t="s">
        <v>174</v>
      </c>
    </row>
    <row r="3" spans="1:28" x14ac:dyDescent="0.2">
      <c r="A3" s="2">
        <v>1</v>
      </c>
      <c r="B3" s="27" t="s">
        <v>94</v>
      </c>
      <c r="C3" s="3">
        <v>43172</v>
      </c>
      <c r="D3" s="2">
        <v>200</v>
      </c>
      <c r="E3" s="19">
        <v>0.12520000000000001</v>
      </c>
      <c r="F3" s="5">
        <v>0.13170000000000001</v>
      </c>
      <c r="G3" s="6">
        <f>F3-E3</f>
        <v>6.5000000000000058E-3</v>
      </c>
      <c r="H3" s="7">
        <f>(G3*1000)/(D3/1000)</f>
        <v>32.500000000000021</v>
      </c>
      <c r="I3" s="6">
        <v>0.6794</v>
      </c>
      <c r="J3" s="58">
        <v>0.67889999999999995</v>
      </c>
      <c r="K3" s="6">
        <f>I3-J3</f>
        <v>5.0000000000005596E-4</v>
      </c>
      <c r="L3" s="6">
        <f>(K3*1000)/(D3/1000)</f>
        <v>2.5000000000002798</v>
      </c>
      <c r="M3" s="7">
        <f>H3-L3</f>
        <v>29.999999999999741</v>
      </c>
      <c r="O3" s="57"/>
      <c r="P3" s="64">
        <f>AVERAGE(H3:H4)</f>
        <v>32.500000000000021</v>
      </c>
      <c r="Q3" s="63">
        <f>AVERAGE(L3:L4)</f>
        <v>4.250000000000087</v>
      </c>
      <c r="R3" s="63">
        <f>AVERAGE(M3:M4)</f>
        <v>28.249999999999936</v>
      </c>
      <c r="S3" t="s">
        <v>125</v>
      </c>
      <c r="T3" s="65" t="s">
        <v>127</v>
      </c>
      <c r="U3" t="str">
        <f>CONCATENATE(S3,T3)</f>
        <v>WMS-01</v>
      </c>
      <c r="W3" t="s">
        <v>123</v>
      </c>
      <c r="X3" s="66">
        <v>32.500000000000021</v>
      </c>
      <c r="Y3" s="67">
        <v>28.249999999999936</v>
      </c>
      <c r="Z3" s="67">
        <v>4.2500000000000897</v>
      </c>
      <c r="AB3" s="67"/>
    </row>
    <row r="4" spans="1:28" x14ac:dyDescent="0.2">
      <c r="A4" s="2">
        <v>2</v>
      </c>
      <c r="B4" s="2" t="s">
        <v>95</v>
      </c>
      <c r="C4" s="3">
        <v>43172</v>
      </c>
      <c r="D4" s="2">
        <v>200</v>
      </c>
      <c r="E4" s="4">
        <v>0.12529999999999999</v>
      </c>
      <c r="F4" s="6">
        <v>0.1318</v>
      </c>
      <c r="G4" s="6">
        <f t="shared" ref="G4:G21" si="0">F4-E4</f>
        <v>6.5000000000000058E-3</v>
      </c>
      <c r="H4" s="7">
        <f t="shared" ref="H4:H21" si="1">(G4*1000)/(D4/1000)</f>
        <v>32.500000000000021</v>
      </c>
      <c r="I4" s="6">
        <v>0.68959999999999999</v>
      </c>
      <c r="J4" s="22">
        <v>0.68840000000000001</v>
      </c>
      <c r="K4" s="6">
        <f t="shared" ref="K4:K21" si="2">I4-J4</f>
        <v>1.1999999999999789E-3</v>
      </c>
      <c r="L4" s="6">
        <f t="shared" ref="L4:L21" si="3">(K4*1000)/(D4/1000)</f>
        <v>5.9999999999998943</v>
      </c>
      <c r="M4" s="7">
        <f t="shared" ref="M4:M21" si="4">H4-L4</f>
        <v>26.500000000000128</v>
      </c>
      <c r="O4" s="57"/>
      <c r="P4" s="57"/>
      <c r="U4" t="str">
        <f t="shared" ref="U4:U67" si="5">CONCATENATE(S4,T4)</f>
        <v/>
      </c>
      <c r="W4" t="s">
        <v>124</v>
      </c>
      <c r="X4" s="66">
        <v>33.499999999999986</v>
      </c>
      <c r="Y4" s="67">
        <v>28.749999999999954</v>
      </c>
      <c r="Z4" s="67">
        <v>4.750000000000032</v>
      </c>
      <c r="AB4" s="67"/>
    </row>
    <row r="5" spans="1:28" x14ac:dyDescent="0.2">
      <c r="A5" s="8">
        <v>3</v>
      </c>
      <c r="B5" s="8" t="s">
        <v>96</v>
      </c>
      <c r="C5" s="9">
        <v>43172</v>
      </c>
      <c r="D5" s="8">
        <v>200</v>
      </c>
      <c r="E5" s="10">
        <v>0.1245</v>
      </c>
      <c r="F5" s="11">
        <v>0.13109999999999999</v>
      </c>
      <c r="G5" s="11">
        <f t="shared" si="0"/>
        <v>6.5999999999999948E-3</v>
      </c>
      <c r="H5" s="12">
        <f t="shared" si="1"/>
        <v>32.999999999999972</v>
      </c>
      <c r="I5" s="11">
        <v>0.68510000000000004</v>
      </c>
      <c r="J5" s="11">
        <v>0.68400000000000005</v>
      </c>
      <c r="K5" s="11">
        <f t="shared" si="2"/>
        <v>1.0999999999999899E-3</v>
      </c>
      <c r="L5" s="11">
        <f t="shared" si="3"/>
        <v>5.4999999999999494</v>
      </c>
      <c r="M5" s="12">
        <f t="shared" si="4"/>
        <v>27.500000000000021</v>
      </c>
      <c r="O5" s="57"/>
      <c r="P5" s="64">
        <f>AVERAGE(H5:H6)</f>
        <v>33.499999999999986</v>
      </c>
      <c r="Q5" s="63">
        <f>AVERAGE(L5:L6)</f>
        <v>4.750000000000032</v>
      </c>
      <c r="R5" s="63">
        <f>AVERAGE(M5:M6)</f>
        <v>28.749999999999954</v>
      </c>
      <c r="S5" t="s">
        <v>125</v>
      </c>
      <c r="T5" s="65" t="s">
        <v>126</v>
      </c>
      <c r="U5" t="str">
        <f t="shared" si="5"/>
        <v>WMS-02</v>
      </c>
      <c r="W5" t="s">
        <v>136</v>
      </c>
      <c r="X5" s="66">
        <v>32.999999999999936</v>
      </c>
      <c r="Y5" s="67">
        <v>27.000000000000043</v>
      </c>
      <c r="Z5" s="67">
        <v>5.9999999999998943</v>
      </c>
      <c r="AB5" s="67"/>
    </row>
    <row r="6" spans="1:28" x14ac:dyDescent="0.2">
      <c r="A6" s="8">
        <v>4</v>
      </c>
      <c r="B6" s="8" t="s">
        <v>97</v>
      </c>
      <c r="C6" s="9">
        <v>43172</v>
      </c>
      <c r="D6" s="8">
        <v>200</v>
      </c>
      <c r="E6" s="10">
        <v>0.12529999999999999</v>
      </c>
      <c r="F6" s="11">
        <v>0.1321</v>
      </c>
      <c r="G6" s="11">
        <f t="shared" si="0"/>
        <v>6.8000000000000005E-3</v>
      </c>
      <c r="H6" s="12">
        <f t="shared" si="1"/>
        <v>34</v>
      </c>
      <c r="I6" s="11">
        <v>0.66190000000000004</v>
      </c>
      <c r="J6" s="11">
        <v>0.66110000000000002</v>
      </c>
      <c r="K6" s="11">
        <f t="shared" si="2"/>
        <v>8.0000000000002292E-4</v>
      </c>
      <c r="L6" s="11">
        <f>(K6*1000)/(D6/1000)</f>
        <v>4.0000000000001146</v>
      </c>
      <c r="M6" s="12">
        <f t="shared" si="4"/>
        <v>29.999999999999886</v>
      </c>
      <c r="O6" s="57"/>
      <c r="P6" s="57"/>
      <c r="U6" t="str">
        <f t="shared" si="5"/>
        <v/>
      </c>
      <c r="W6" t="s">
        <v>137</v>
      </c>
      <c r="X6" s="66">
        <v>36.500000000000036</v>
      </c>
      <c r="Y6" s="67">
        <v>28.750000000000053</v>
      </c>
      <c r="Z6" s="67">
        <v>7.7499999999999787</v>
      </c>
      <c r="AB6" s="67"/>
    </row>
    <row r="7" spans="1:28" x14ac:dyDescent="0.2">
      <c r="A7" s="2">
        <v>5</v>
      </c>
      <c r="B7" s="2" t="s">
        <v>98</v>
      </c>
      <c r="C7" s="3">
        <v>43172</v>
      </c>
      <c r="D7" s="2">
        <v>200</v>
      </c>
      <c r="E7" s="4">
        <v>0.12520000000000001</v>
      </c>
      <c r="F7" s="6">
        <v>0.13189999999999999</v>
      </c>
      <c r="G7" s="6">
        <f t="shared" si="0"/>
        <v>6.6999999999999837E-3</v>
      </c>
      <c r="H7" s="7">
        <f t="shared" si="1"/>
        <v>33.499999999999915</v>
      </c>
      <c r="I7" s="6">
        <v>0.6794</v>
      </c>
      <c r="J7" s="22">
        <v>0.6784</v>
      </c>
      <c r="K7" s="6">
        <f t="shared" si="2"/>
        <v>1.0000000000000009E-3</v>
      </c>
      <c r="L7" s="6">
        <f t="shared" si="3"/>
        <v>5.0000000000000044</v>
      </c>
      <c r="M7" s="7">
        <f t="shared" si="4"/>
        <v>28.499999999999911</v>
      </c>
      <c r="O7" s="57"/>
      <c r="P7" s="64">
        <f>AVERAGE(H7:H8)</f>
        <v>32.999999999999936</v>
      </c>
      <c r="Q7" s="63">
        <f>AVERAGE(L7:L8)</f>
        <v>5.9999999999998943</v>
      </c>
      <c r="R7" s="63">
        <f>AVERAGE(M7:M8)</f>
        <v>27.000000000000043</v>
      </c>
      <c r="S7" t="s">
        <v>125</v>
      </c>
      <c r="T7" s="65" t="s">
        <v>128</v>
      </c>
      <c r="U7" t="str">
        <f t="shared" si="5"/>
        <v>WMS-03</v>
      </c>
      <c r="W7" t="s">
        <v>138</v>
      </c>
      <c r="X7" s="66">
        <v>36.5</v>
      </c>
      <c r="Y7" s="67">
        <v>29.249999999999694</v>
      </c>
      <c r="Z7" s="67">
        <v>7.2500000000003118</v>
      </c>
      <c r="AB7" s="67"/>
    </row>
    <row r="8" spans="1:28" x14ac:dyDescent="0.2">
      <c r="A8" s="2">
        <v>6</v>
      </c>
      <c r="B8" s="21" t="s">
        <v>99</v>
      </c>
      <c r="C8" s="3">
        <v>43172</v>
      </c>
      <c r="D8" s="2">
        <v>200</v>
      </c>
      <c r="E8" s="13">
        <v>0.1246</v>
      </c>
      <c r="F8" s="6">
        <v>0.13109999999999999</v>
      </c>
      <c r="G8" s="6">
        <f t="shared" si="0"/>
        <v>6.4999999999999919E-3</v>
      </c>
      <c r="H8" s="7">
        <f t="shared" si="1"/>
        <v>32.499999999999957</v>
      </c>
      <c r="I8" s="6">
        <v>0.64910000000000001</v>
      </c>
      <c r="J8" s="22">
        <v>0.64770000000000005</v>
      </c>
      <c r="K8" s="6">
        <f t="shared" si="2"/>
        <v>1.3999999999999568E-3</v>
      </c>
      <c r="L8" s="6">
        <f t="shared" si="3"/>
        <v>6.9999999999997842</v>
      </c>
      <c r="M8" s="7">
        <f t="shared" si="4"/>
        <v>25.500000000000174</v>
      </c>
      <c r="O8" s="57"/>
      <c r="P8" s="57"/>
      <c r="U8" t="str">
        <f t="shared" si="5"/>
        <v/>
      </c>
      <c r="W8" t="s">
        <v>139</v>
      </c>
      <c r="X8" s="66">
        <v>35.500000000000043</v>
      </c>
      <c r="Y8" s="67">
        <v>28.750000000000231</v>
      </c>
      <c r="Z8" s="67">
        <v>6.7499999999998117</v>
      </c>
      <c r="AB8" s="67"/>
    </row>
    <row r="9" spans="1:28" x14ac:dyDescent="0.2">
      <c r="A9" s="8">
        <v>7</v>
      </c>
      <c r="B9" s="8" t="s">
        <v>100</v>
      </c>
      <c r="C9" s="9">
        <v>43173</v>
      </c>
      <c r="D9" s="8">
        <v>200</v>
      </c>
      <c r="E9" s="10">
        <v>0.1255</v>
      </c>
      <c r="F9" s="11">
        <v>0.13170000000000001</v>
      </c>
      <c r="G9" s="11">
        <f t="shared" si="0"/>
        <v>6.2000000000000111E-3</v>
      </c>
      <c r="H9" s="12">
        <f t="shared" si="1"/>
        <v>31.000000000000053</v>
      </c>
      <c r="I9" s="11">
        <v>0.55800000000000005</v>
      </c>
      <c r="J9" s="11">
        <v>0.55630000000000002</v>
      </c>
      <c r="K9" s="11">
        <f t="shared" si="2"/>
        <v>1.7000000000000348E-3</v>
      </c>
      <c r="L9" s="11">
        <f t="shared" si="3"/>
        <v>8.5000000000001741</v>
      </c>
      <c r="M9" s="12">
        <f t="shared" si="4"/>
        <v>22.499999999999879</v>
      </c>
      <c r="O9" s="57"/>
      <c r="P9" s="64">
        <f>AVERAGE(H9:H10)</f>
        <v>36.500000000000036</v>
      </c>
      <c r="Q9" s="63">
        <f>AVERAGE(L9:L10)</f>
        <v>7.7499999999999787</v>
      </c>
      <c r="R9" s="63">
        <f>AVERAGE(M9:M10)</f>
        <v>28.750000000000053</v>
      </c>
      <c r="S9" t="s">
        <v>125</v>
      </c>
      <c r="T9" s="65" t="s">
        <v>129</v>
      </c>
      <c r="U9" t="str">
        <f t="shared" si="5"/>
        <v>WMS-04</v>
      </c>
      <c r="W9" t="s">
        <v>140</v>
      </c>
      <c r="X9" s="66">
        <v>30.499999999999972</v>
      </c>
      <c r="Y9" s="67">
        <v>22.749999999999993</v>
      </c>
      <c r="Z9" s="67">
        <v>7.7499999999999787</v>
      </c>
      <c r="AB9" s="67"/>
    </row>
    <row r="10" spans="1:28" x14ac:dyDescent="0.2">
      <c r="A10" s="8">
        <v>8</v>
      </c>
      <c r="B10" s="8" t="s">
        <v>101</v>
      </c>
      <c r="C10" s="9">
        <v>43173</v>
      </c>
      <c r="D10" s="8">
        <v>200</v>
      </c>
      <c r="E10" s="10">
        <v>0.1246</v>
      </c>
      <c r="F10" s="11">
        <v>0.13300000000000001</v>
      </c>
      <c r="G10" s="11">
        <f t="shared" si="0"/>
        <v>8.4000000000000047E-3</v>
      </c>
      <c r="H10" s="12">
        <f t="shared" si="1"/>
        <v>42.000000000000014</v>
      </c>
      <c r="I10" s="11">
        <v>0.60199999999999998</v>
      </c>
      <c r="J10" s="11">
        <v>0.60060000000000002</v>
      </c>
      <c r="K10" s="11">
        <f t="shared" si="2"/>
        <v>1.3999999999999568E-3</v>
      </c>
      <c r="L10" s="11">
        <f t="shared" si="3"/>
        <v>6.9999999999997842</v>
      </c>
      <c r="M10" s="12">
        <f t="shared" si="4"/>
        <v>35.000000000000227</v>
      </c>
      <c r="O10" s="57"/>
      <c r="P10" s="57"/>
      <c r="U10" t="str">
        <f t="shared" si="5"/>
        <v/>
      </c>
      <c r="W10" t="s">
        <v>141</v>
      </c>
      <c r="X10" s="66">
        <v>28.499999999999986</v>
      </c>
      <c r="Y10" s="67">
        <v>21.250000000000227</v>
      </c>
      <c r="Z10" s="67">
        <v>7.2499999999997566</v>
      </c>
      <c r="AB10" s="67"/>
    </row>
    <row r="11" spans="1:28" x14ac:dyDescent="0.2">
      <c r="A11" s="2">
        <v>9</v>
      </c>
      <c r="B11" s="2" t="s">
        <v>102</v>
      </c>
      <c r="C11" s="3">
        <v>43173</v>
      </c>
      <c r="D11" s="2">
        <v>200</v>
      </c>
      <c r="E11" s="21">
        <v>0.12590000000000001</v>
      </c>
      <c r="F11" s="6">
        <v>0.13300000000000001</v>
      </c>
      <c r="G11" s="11">
        <f t="shared" si="0"/>
        <v>7.0999999999999952E-3</v>
      </c>
      <c r="H11" s="7">
        <f t="shared" si="1"/>
        <v>35.499999999999972</v>
      </c>
      <c r="I11" s="6">
        <v>0.57310000000000005</v>
      </c>
      <c r="J11" s="22">
        <v>0.57150000000000001</v>
      </c>
      <c r="K11" s="6">
        <f t="shared" si="2"/>
        <v>1.6000000000000458E-3</v>
      </c>
      <c r="L11" s="6">
        <f t="shared" si="3"/>
        <v>8.0000000000002292</v>
      </c>
      <c r="M11" s="7">
        <f t="shared" si="4"/>
        <v>27.499999999999744</v>
      </c>
      <c r="O11" s="57"/>
      <c r="P11" s="64">
        <f>AVERAGE(H11:H12)</f>
        <v>36.5</v>
      </c>
      <c r="Q11" s="63">
        <f>AVERAGE(L11:L12)</f>
        <v>7.2500000000003118</v>
      </c>
      <c r="R11" s="63">
        <f>AVERAGE(M11:M12)</f>
        <v>29.249999999999694</v>
      </c>
      <c r="S11" t="s">
        <v>125</v>
      </c>
      <c r="T11" s="65" t="s">
        <v>130</v>
      </c>
      <c r="U11" t="str">
        <f t="shared" si="5"/>
        <v>WMS-05</v>
      </c>
      <c r="W11" t="s">
        <v>142</v>
      </c>
      <c r="X11" s="66">
        <v>28.749999999999954</v>
      </c>
      <c r="Y11" s="67">
        <v>21.749999999999893</v>
      </c>
      <c r="Z11" s="67">
        <v>7.0000000000000622</v>
      </c>
      <c r="AB11" s="67"/>
    </row>
    <row r="12" spans="1:28" x14ac:dyDescent="0.2">
      <c r="A12" s="2">
        <v>10</v>
      </c>
      <c r="B12" s="2" t="s">
        <v>103</v>
      </c>
      <c r="C12" s="3">
        <v>43173</v>
      </c>
      <c r="D12" s="2">
        <v>200</v>
      </c>
      <c r="E12" s="4">
        <v>0.1258</v>
      </c>
      <c r="F12" s="6">
        <v>0.1333</v>
      </c>
      <c r="G12" s="11">
        <f t="shared" si="0"/>
        <v>7.5000000000000067E-3</v>
      </c>
      <c r="H12" s="7">
        <f t="shared" si="1"/>
        <v>37.500000000000036</v>
      </c>
      <c r="I12" s="6">
        <v>0.60540000000000005</v>
      </c>
      <c r="J12" s="22">
        <v>0.60409999999999997</v>
      </c>
      <c r="K12" s="6">
        <f t="shared" si="2"/>
        <v>1.3000000000000789E-3</v>
      </c>
      <c r="L12" s="6">
        <f t="shared" si="3"/>
        <v>6.5000000000003944</v>
      </c>
      <c r="M12" s="7">
        <f t="shared" si="4"/>
        <v>30.999999999999641</v>
      </c>
      <c r="O12" s="57"/>
      <c r="P12" s="57"/>
      <c r="U12" t="str">
        <f t="shared" si="5"/>
        <v/>
      </c>
      <c r="X12" s="66"/>
      <c r="Y12" s="67"/>
      <c r="Z12" s="67"/>
      <c r="AB12" s="67"/>
    </row>
    <row r="13" spans="1:28" x14ac:dyDescent="0.2">
      <c r="A13" s="8">
        <v>11</v>
      </c>
      <c r="B13" s="8" t="s">
        <v>104</v>
      </c>
      <c r="C13" s="9">
        <v>43173</v>
      </c>
      <c r="D13" s="8">
        <v>200</v>
      </c>
      <c r="E13" s="10">
        <v>0.1263</v>
      </c>
      <c r="F13" s="11">
        <v>0.13350000000000001</v>
      </c>
      <c r="G13" s="11">
        <f t="shared" si="0"/>
        <v>7.2000000000000119E-3</v>
      </c>
      <c r="H13" s="7">
        <f t="shared" si="1"/>
        <v>36.000000000000057</v>
      </c>
      <c r="I13" s="11">
        <v>0.55779999999999996</v>
      </c>
      <c r="J13" s="11">
        <v>0.55640000000000001</v>
      </c>
      <c r="K13" s="11">
        <f t="shared" si="2"/>
        <v>1.3999999999999568E-3</v>
      </c>
      <c r="L13" s="11">
        <f t="shared" si="3"/>
        <v>6.9999999999997842</v>
      </c>
      <c r="M13" s="12">
        <f t="shared" si="4"/>
        <v>29.000000000000274</v>
      </c>
      <c r="O13" s="57"/>
      <c r="P13" s="64">
        <f>AVERAGE(H13:H14)</f>
        <v>35.500000000000043</v>
      </c>
      <c r="Q13" s="63">
        <f>AVERAGE(L13:L14)</f>
        <v>6.7499999999998117</v>
      </c>
      <c r="R13" s="63">
        <f>AVERAGE(M13:M14)</f>
        <v>28.750000000000231</v>
      </c>
      <c r="S13" t="s">
        <v>125</v>
      </c>
      <c r="T13" s="65" t="s">
        <v>131</v>
      </c>
      <c r="U13" t="str">
        <f t="shared" si="5"/>
        <v>WMS-06</v>
      </c>
      <c r="W13" t="s">
        <v>143</v>
      </c>
      <c r="X13" s="66">
        <v>48.249999999999957</v>
      </c>
      <c r="Y13" s="67">
        <v>38.500000000000483</v>
      </c>
      <c r="Z13" s="67">
        <v>9.7499999999994813</v>
      </c>
      <c r="AB13" s="67"/>
    </row>
    <row r="14" spans="1:28" x14ac:dyDescent="0.2">
      <c r="A14" s="14">
        <v>12</v>
      </c>
      <c r="B14" s="14" t="s">
        <v>105</v>
      </c>
      <c r="C14" s="9">
        <v>43173</v>
      </c>
      <c r="D14" s="8">
        <v>200</v>
      </c>
      <c r="E14" s="10">
        <v>0.12520000000000001</v>
      </c>
      <c r="F14" s="11">
        <v>0.13220000000000001</v>
      </c>
      <c r="G14" s="11">
        <f t="shared" si="0"/>
        <v>7.0000000000000062E-3</v>
      </c>
      <c r="H14" s="7">
        <f t="shared" si="1"/>
        <v>35.000000000000028</v>
      </c>
      <c r="I14" s="15">
        <v>0.61329999999999996</v>
      </c>
      <c r="J14" s="15">
        <v>0.61199999999999999</v>
      </c>
      <c r="K14" s="11">
        <f t="shared" si="2"/>
        <v>1.2999999999999678E-3</v>
      </c>
      <c r="L14" s="11">
        <f t="shared" si="3"/>
        <v>6.4999999999998392</v>
      </c>
      <c r="M14" s="12">
        <f t="shared" si="4"/>
        <v>28.500000000000188</v>
      </c>
      <c r="O14" s="57"/>
      <c r="P14" s="57"/>
      <c r="U14" t="str">
        <f t="shared" si="5"/>
        <v/>
      </c>
      <c r="W14" t="s">
        <v>144</v>
      </c>
      <c r="X14" s="66">
        <v>47.750000000000007</v>
      </c>
      <c r="Y14" s="67">
        <v>37.500000000000028</v>
      </c>
      <c r="Z14" s="67">
        <v>10.249999999999982</v>
      </c>
      <c r="AB14" s="67"/>
    </row>
    <row r="15" spans="1:28" x14ac:dyDescent="0.2">
      <c r="A15" s="45">
        <v>13</v>
      </c>
      <c r="B15" s="45" t="s">
        <v>106</v>
      </c>
      <c r="C15" s="46">
        <v>43174</v>
      </c>
      <c r="D15" s="21">
        <v>200</v>
      </c>
      <c r="E15" s="47">
        <v>0.12529999999999999</v>
      </c>
      <c r="F15" s="22">
        <v>0.13139999999999999</v>
      </c>
      <c r="G15" s="22">
        <f t="shared" si="0"/>
        <v>6.0999999999999943E-3</v>
      </c>
      <c r="H15" s="48">
        <f t="shared" si="1"/>
        <v>30.499999999999972</v>
      </c>
      <c r="I15" s="49">
        <v>0.6069</v>
      </c>
      <c r="J15" s="50">
        <v>0.60540000000000005</v>
      </c>
      <c r="K15" s="35">
        <f t="shared" si="2"/>
        <v>1.4999999999999458E-3</v>
      </c>
      <c r="L15" s="35">
        <f t="shared" si="3"/>
        <v>7.4999999999997291</v>
      </c>
      <c r="M15" s="51">
        <f t="shared" si="4"/>
        <v>23.000000000000242</v>
      </c>
      <c r="O15" s="57"/>
      <c r="P15" s="64">
        <f>AVERAGE(H15:H16)</f>
        <v>30.499999999999972</v>
      </c>
      <c r="Q15" s="63">
        <f>AVERAGE(L15:L16)</f>
        <v>7.7499999999999787</v>
      </c>
      <c r="R15" s="63">
        <f>AVERAGE(M15:M16)</f>
        <v>22.749999999999993</v>
      </c>
      <c r="S15" t="s">
        <v>125</v>
      </c>
      <c r="T15" s="65" t="s">
        <v>132</v>
      </c>
      <c r="U15" t="str">
        <f t="shared" si="5"/>
        <v>WMS-07</v>
      </c>
      <c r="W15" t="s">
        <v>145</v>
      </c>
      <c r="X15" s="66">
        <v>49.250000000000057</v>
      </c>
      <c r="Y15" s="67">
        <v>39.75000000000054</v>
      </c>
      <c r="Z15" s="67">
        <v>9.4999999999995097</v>
      </c>
      <c r="AB15" s="67"/>
    </row>
    <row r="16" spans="1:28" x14ac:dyDescent="0.2">
      <c r="A16" s="45">
        <v>14</v>
      </c>
      <c r="B16" s="45" t="s">
        <v>107</v>
      </c>
      <c r="C16" s="46">
        <v>43174</v>
      </c>
      <c r="D16" s="21">
        <v>200</v>
      </c>
      <c r="E16" s="47">
        <v>0.12620000000000001</v>
      </c>
      <c r="F16" s="22">
        <v>0.1323</v>
      </c>
      <c r="G16" s="22">
        <f t="shared" si="0"/>
        <v>6.0999999999999943E-3</v>
      </c>
      <c r="H16" s="48">
        <f t="shared" si="1"/>
        <v>30.499999999999972</v>
      </c>
      <c r="I16" s="49">
        <v>0.58360000000000001</v>
      </c>
      <c r="J16" s="50">
        <v>0.58199999999999996</v>
      </c>
      <c r="K16" s="35">
        <f t="shared" si="2"/>
        <v>1.6000000000000458E-3</v>
      </c>
      <c r="L16" s="35">
        <f t="shared" si="3"/>
        <v>8.0000000000002292</v>
      </c>
      <c r="M16" s="51">
        <f t="shared" si="4"/>
        <v>22.499999999999744</v>
      </c>
      <c r="O16" s="57"/>
      <c r="P16" s="57"/>
      <c r="U16" t="str">
        <f t="shared" si="5"/>
        <v/>
      </c>
      <c r="W16" t="s">
        <v>146</v>
      </c>
      <c r="X16" s="66">
        <v>48.5</v>
      </c>
      <c r="Y16" s="67">
        <v>38.250000000000014</v>
      </c>
      <c r="Z16" s="67">
        <v>10.249999999999982</v>
      </c>
      <c r="AB16" s="67"/>
    </row>
    <row r="17" spans="1:28" x14ac:dyDescent="0.2">
      <c r="A17" s="8">
        <v>15</v>
      </c>
      <c r="B17" s="8" t="s">
        <v>108</v>
      </c>
      <c r="C17" s="9">
        <v>43174</v>
      </c>
      <c r="D17" s="8">
        <v>200</v>
      </c>
      <c r="E17" s="44">
        <v>0.1245</v>
      </c>
      <c r="F17" s="11">
        <v>0.13020000000000001</v>
      </c>
      <c r="G17" s="11">
        <f t="shared" si="0"/>
        <v>5.7000000000000106E-3</v>
      </c>
      <c r="H17" s="12">
        <f t="shared" si="1"/>
        <v>28.500000000000053</v>
      </c>
      <c r="I17" s="11">
        <v>0.70399999999999996</v>
      </c>
      <c r="J17" s="33">
        <v>0.70240000000000002</v>
      </c>
      <c r="K17" s="33">
        <f>I17-J17</f>
        <v>1.5999999999999348E-3</v>
      </c>
      <c r="L17" s="33">
        <f t="shared" si="3"/>
        <v>7.999999999999674</v>
      </c>
      <c r="M17" s="34">
        <f t="shared" si="4"/>
        <v>20.50000000000038</v>
      </c>
      <c r="O17" s="57"/>
      <c r="P17" s="64">
        <f>AVERAGE(H17:H18)</f>
        <v>28.499999999999986</v>
      </c>
      <c r="Q17" s="63">
        <f>AVERAGE(L17:L18)</f>
        <v>7.2499999999997566</v>
      </c>
      <c r="R17" s="63">
        <f>AVERAGE(M17:M18)</f>
        <v>21.250000000000227</v>
      </c>
      <c r="S17" t="s">
        <v>125</v>
      </c>
      <c r="T17" s="65" t="s">
        <v>133</v>
      </c>
      <c r="U17" t="str">
        <f t="shared" si="5"/>
        <v>WMS-08</v>
      </c>
      <c r="W17" t="s">
        <v>147</v>
      </c>
      <c r="X17" s="66">
        <v>45.750000000000028</v>
      </c>
      <c r="Y17" s="67">
        <v>35.500000000000043</v>
      </c>
      <c r="Z17" s="67">
        <v>10.249999999999982</v>
      </c>
      <c r="AB17" s="67"/>
    </row>
    <row r="18" spans="1:28" x14ac:dyDescent="0.2">
      <c r="A18" s="16">
        <v>16</v>
      </c>
      <c r="B18" s="16" t="s">
        <v>109</v>
      </c>
      <c r="C18" s="9">
        <v>43174</v>
      </c>
      <c r="D18" s="8">
        <v>200</v>
      </c>
      <c r="E18" s="10">
        <v>0.12590000000000001</v>
      </c>
      <c r="F18" s="17">
        <v>0.13159999999999999</v>
      </c>
      <c r="G18" s="11">
        <f t="shared" si="0"/>
        <v>5.6999999999999829E-3</v>
      </c>
      <c r="H18" s="7">
        <f t="shared" si="1"/>
        <v>28.499999999999915</v>
      </c>
      <c r="I18" s="18">
        <v>0.66439999999999999</v>
      </c>
      <c r="J18" s="59">
        <v>0.66310000000000002</v>
      </c>
      <c r="K18" s="33">
        <f>I18-J18</f>
        <v>1.2999999999999678E-3</v>
      </c>
      <c r="L18" s="33">
        <f t="shared" si="3"/>
        <v>6.4999999999998392</v>
      </c>
      <c r="M18" s="34">
        <f t="shared" si="4"/>
        <v>22.000000000000075</v>
      </c>
      <c r="O18" s="57"/>
      <c r="P18" s="57"/>
      <c r="U18" t="str">
        <f t="shared" si="5"/>
        <v/>
      </c>
      <c r="W18" t="s">
        <v>148</v>
      </c>
      <c r="X18" s="66">
        <v>43.5</v>
      </c>
      <c r="Y18" s="67">
        <v>31.999999999999876</v>
      </c>
      <c r="Z18" s="67">
        <v>11.500000000000121</v>
      </c>
      <c r="AB18" s="67"/>
    </row>
    <row r="19" spans="1:28" x14ac:dyDescent="0.2">
      <c r="A19" s="21">
        <v>17</v>
      </c>
      <c r="B19" s="21" t="s">
        <v>110</v>
      </c>
      <c r="C19" s="46">
        <v>43174</v>
      </c>
      <c r="D19" s="21">
        <v>200</v>
      </c>
      <c r="E19" s="47">
        <v>0.12540000000000001</v>
      </c>
      <c r="F19" s="22">
        <v>0.13170000000000001</v>
      </c>
      <c r="G19" s="22">
        <f t="shared" si="0"/>
        <v>6.3E-3</v>
      </c>
      <c r="H19" s="48">
        <f t="shared" si="1"/>
        <v>31.499999999999996</v>
      </c>
      <c r="I19" s="22">
        <v>0.72529999999999994</v>
      </c>
      <c r="J19" s="35">
        <v>0.72399999999999998</v>
      </c>
      <c r="K19" s="35">
        <f t="shared" si="2"/>
        <v>1.2999999999999678E-3</v>
      </c>
      <c r="L19" s="35">
        <f t="shared" si="3"/>
        <v>6.4999999999998392</v>
      </c>
      <c r="M19" s="51">
        <f t="shared" si="4"/>
        <v>25.000000000000156</v>
      </c>
      <c r="O19" s="57"/>
      <c r="P19" s="64">
        <f>AVERAGE(H19:H20)</f>
        <v>28.749999999999954</v>
      </c>
      <c r="Q19" s="63">
        <f>AVERAGE(L19:L20)</f>
        <v>7.0000000000000622</v>
      </c>
      <c r="R19" s="63">
        <f>AVERAGE(M19:M20)</f>
        <v>21.749999999999893</v>
      </c>
      <c r="S19" t="s">
        <v>125</v>
      </c>
      <c r="T19" s="65" t="s">
        <v>134</v>
      </c>
      <c r="U19" t="str">
        <f t="shared" si="5"/>
        <v>WMS-09</v>
      </c>
      <c r="W19" t="s">
        <v>149</v>
      </c>
      <c r="X19" s="66">
        <v>40.749999999999957</v>
      </c>
      <c r="Y19" s="67">
        <v>30.499999999999972</v>
      </c>
      <c r="Z19" s="67">
        <v>10.249999999999982</v>
      </c>
      <c r="AB19" s="67"/>
    </row>
    <row r="20" spans="1:28" x14ac:dyDescent="0.2">
      <c r="A20" s="21">
        <v>18</v>
      </c>
      <c r="B20" s="21" t="s">
        <v>111</v>
      </c>
      <c r="C20" s="46">
        <v>43174</v>
      </c>
      <c r="D20" s="21">
        <v>200</v>
      </c>
      <c r="E20" s="47">
        <v>0.12540000000000001</v>
      </c>
      <c r="F20" s="22">
        <v>0.13059999999999999</v>
      </c>
      <c r="G20" s="22">
        <f t="shared" si="0"/>
        <v>5.1999999999999824E-3</v>
      </c>
      <c r="H20" s="48">
        <f t="shared" si="1"/>
        <v>25.999999999999911</v>
      </c>
      <c r="I20" s="22">
        <v>0.69820000000000004</v>
      </c>
      <c r="J20" s="35">
        <v>0.69669999999999999</v>
      </c>
      <c r="K20" s="35">
        <f t="shared" si="2"/>
        <v>1.5000000000000568E-3</v>
      </c>
      <c r="L20" s="35">
        <f t="shared" si="3"/>
        <v>7.5000000000002842</v>
      </c>
      <c r="M20" s="51">
        <f t="shared" si="4"/>
        <v>18.499999999999627</v>
      </c>
      <c r="O20" s="57"/>
      <c r="P20" s="57"/>
      <c r="U20" t="str">
        <f t="shared" si="5"/>
        <v/>
      </c>
      <c r="W20" t="s">
        <v>150</v>
      </c>
      <c r="X20" s="66">
        <v>45.499999999999986</v>
      </c>
      <c r="Y20" s="67">
        <v>35.000000000000028</v>
      </c>
      <c r="Z20" s="67">
        <v>10.499999999999954</v>
      </c>
      <c r="AB20" s="67"/>
    </row>
    <row r="21" spans="1:28" x14ac:dyDescent="0.2">
      <c r="A21" s="8">
        <v>18</v>
      </c>
      <c r="B21" s="8" t="s">
        <v>112</v>
      </c>
      <c r="C21" s="46">
        <v>43174</v>
      </c>
      <c r="D21" s="8">
        <v>200</v>
      </c>
      <c r="E21" s="10">
        <v>0.1249</v>
      </c>
      <c r="F21" s="11">
        <v>0.125</v>
      </c>
      <c r="G21" s="11">
        <f t="shared" si="0"/>
        <v>1.0000000000000286E-4</v>
      </c>
      <c r="H21" s="12">
        <f t="shared" si="1"/>
        <v>0.50000000000001432</v>
      </c>
      <c r="I21" s="11">
        <v>0.72570000000000001</v>
      </c>
      <c r="J21" s="33">
        <v>0.72560000000000002</v>
      </c>
      <c r="K21" s="33">
        <f t="shared" si="2"/>
        <v>9.9999999999988987E-5</v>
      </c>
      <c r="L21" s="33">
        <f t="shared" si="3"/>
        <v>0.49999999999994493</v>
      </c>
      <c r="M21" s="34">
        <f t="shared" si="4"/>
        <v>6.9388939039072284E-14</v>
      </c>
      <c r="O21" s="57"/>
      <c r="P21" s="57"/>
      <c r="Q21" s="63"/>
      <c r="R21" s="63"/>
      <c r="U21" t="str">
        <f t="shared" si="5"/>
        <v/>
      </c>
      <c r="W21" t="s">
        <v>151</v>
      </c>
      <c r="X21" s="66">
        <v>41.99999999999995</v>
      </c>
      <c r="Y21" s="67">
        <v>28.250000000000078</v>
      </c>
      <c r="Z21" s="67">
        <v>13.749999999999872</v>
      </c>
      <c r="AB21" s="67"/>
    </row>
    <row r="22" spans="1:28" x14ac:dyDescent="0.2">
      <c r="A22" s="2">
        <v>1</v>
      </c>
      <c r="B22" s="27" t="s">
        <v>25</v>
      </c>
      <c r="C22" s="3">
        <v>43227</v>
      </c>
      <c r="D22" s="2">
        <v>200</v>
      </c>
      <c r="E22" s="19">
        <v>0.1255</v>
      </c>
      <c r="F22" s="5">
        <v>0.13589999999999999</v>
      </c>
      <c r="G22" s="6">
        <f>F22-E22</f>
        <v>1.0399999999999993E-2</v>
      </c>
      <c r="H22" s="7">
        <f>(G22*1000)/(D22/1000)</f>
        <v>51.999999999999964</v>
      </c>
      <c r="I22" s="6">
        <v>0.90820000000000001</v>
      </c>
      <c r="J22" s="33">
        <v>0.90590000000000004</v>
      </c>
      <c r="K22" s="33">
        <f t="shared" ref="K22:K31" si="6">I22-J22</f>
        <v>2.2999999999999687E-3</v>
      </c>
      <c r="L22" s="33">
        <f t="shared" ref="L22:L31" si="7">(K22*1000)/(D22/1000)</f>
        <v>11.499999999999844</v>
      </c>
      <c r="M22" s="34">
        <f t="shared" ref="M22:M31" si="8">H22-L22</f>
        <v>40.500000000000121</v>
      </c>
      <c r="N22" s="23"/>
      <c r="P22" s="64">
        <f>AVERAGE(H22:H23)</f>
        <v>48.249999999999957</v>
      </c>
      <c r="Q22" s="63">
        <f>AVERAGE(L22:L23)</f>
        <v>9.7499999999994813</v>
      </c>
      <c r="R22" s="63">
        <f>AVERAGE(M22:M23)</f>
        <v>38.500000000000483</v>
      </c>
      <c r="S22" t="s">
        <v>125</v>
      </c>
      <c r="T22">
        <f>T19+1</f>
        <v>10</v>
      </c>
      <c r="U22" t="str">
        <f t="shared" si="5"/>
        <v>WMS-10</v>
      </c>
      <c r="W22" t="s">
        <v>152</v>
      </c>
      <c r="X22" s="66">
        <v>42.499999999999964</v>
      </c>
      <c r="Y22" s="67">
        <v>27.49999999999995</v>
      </c>
      <c r="Z22" s="67">
        <v>15.000000000000012</v>
      </c>
      <c r="AB22" s="67"/>
    </row>
    <row r="23" spans="1:28" x14ac:dyDescent="0.2">
      <c r="A23" s="2">
        <v>2</v>
      </c>
      <c r="B23" s="2" t="s">
        <v>26</v>
      </c>
      <c r="C23" s="3">
        <v>43227</v>
      </c>
      <c r="D23" s="2">
        <v>200</v>
      </c>
      <c r="E23" s="4">
        <v>0.12640000000000001</v>
      </c>
      <c r="F23" s="6">
        <v>0.1353</v>
      </c>
      <c r="G23" s="6">
        <f t="shared" ref="G23:G94" si="9">F23-E23</f>
        <v>8.8999999999999913E-3</v>
      </c>
      <c r="H23" s="7">
        <f t="shared" ref="H23:H94" si="10">(G23*1000)/(D23/1000)</f>
        <v>44.499999999999957</v>
      </c>
      <c r="I23" s="6">
        <v>1.2809999999999999</v>
      </c>
      <c r="J23" s="33">
        <v>1.2794000000000001</v>
      </c>
      <c r="K23" s="33">
        <f t="shared" si="6"/>
        <v>1.5999999999998238E-3</v>
      </c>
      <c r="L23" s="33">
        <f t="shared" si="7"/>
        <v>7.9999999999991189</v>
      </c>
      <c r="M23" s="34">
        <f t="shared" si="8"/>
        <v>36.500000000000838</v>
      </c>
      <c r="P23" s="57"/>
      <c r="U23" t="str">
        <f t="shared" si="5"/>
        <v/>
      </c>
      <c r="W23" t="s">
        <v>153</v>
      </c>
      <c r="X23" s="66">
        <v>44.750000000000064</v>
      </c>
      <c r="Y23" s="67">
        <v>28.75000000000016</v>
      </c>
      <c r="Z23" s="67">
        <v>15.999999999999902</v>
      </c>
      <c r="AB23" s="67"/>
    </row>
    <row r="24" spans="1:28" x14ac:dyDescent="0.2">
      <c r="A24" s="8">
        <v>3</v>
      </c>
      <c r="B24" s="8" t="s">
        <v>19</v>
      </c>
      <c r="C24" s="3">
        <v>43227</v>
      </c>
      <c r="D24" s="8">
        <v>200</v>
      </c>
      <c r="E24" s="10">
        <v>0.1265</v>
      </c>
      <c r="F24" s="11">
        <v>0.1363</v>
      </c>
      <c r="G24" s="11">
        <f t="shared" si="9"/>
        <v>9.8000000000000032E-3</v>
      </c>
      <c r="H24" s="12">
        <f t="shared" si="10"/>
        <v>49.000000000000007</v>
      </c>
      <c r="I24" s="11">
        <v>0.85970000000000002</v>
      </c>
      <c r="J24" s="33">
        <v>0.85770000000000002</v>
      </c>
      <c r="K24" s="33">
        <f t="shared" si="6"/>
        <v>2.0000000000000018E-3</v>
      </c>
      <c r="L24" s="33">
        <f t="shared" si="7"/>
        <v>10.000000000000009</v>
      </c>
      <c r="M24" s="34">
        <f t="shared" si="8"/>
        <v>39</v>
      </c>
      <c r="N24" s="23"/>
      <c r="P24" s="64">
        <f>AVERAGE(H24:H25)</f>
        <v>47.750000000000007</v>
      </c>
      <c r="Q24" s="63">
        <f>AVERAGE(L24:L25)</f>
        <v>10.249999999999982</v>
      </c>
      <c r="R24" s="63">
        <f>AVERAGE(M24:M25)</f>
        <v>37.500000000000028</v>
      </c>
      <c r="S24" t="s">
        <v>125</v>
      </c>
      <c r="T24">
        <f>T22+1</f>
        <v>11</v>
      </c>
      <c r="U24" t="str">
        <f t="shared" si="5"/>
        <v>WMS-11</v>
      </c>
      <c r="W24" t="s">
        <v>154</v>
      </c>
      <c r="X24" s="66">
        <v>45.249999999999943</v>
      </c>
      <c r="Y24" s="67">
        <v>28.749999999999819</v>
      </c>
      <c r="Z24" s="67">
        <v>16.500000000000124</v>
      </c>
      <c r="AB24" s="67"/>
    </row>
    <row r="25" spans="1:28" x14ac:dyDescent="0.2">
      <c r="A25" s="8">
        <v>4</v>
      </c>
      <c r="B25" s="8" t="s">
        <v>20</v>
      </c>
      <c r="C25" s="3">
        <v>43227</v>
      </c>
      <c r="D25" s="8">
        <v>200</v>
      </c>
      <c r="E25" s="10">
        <v>0.1268</v>
      </c>
      <c r="F25" s="11">
        <v>0.1361</v>
      </c>
      <c r="G25" s="11">
        <f t="shared" si="9"/>
        <v>9.3000000000000027E-3</v>
      </c>
      <c r="H25" s="12">
        <f t="shared" si="10"/>
        <v>46.500000000000007</v>
      </c>
      <c r="I25" s="11">
        <v>0.93959999999999999</v>
      </c>
      <c r="J25" s="33">
        <v>0.9375</v>
      </c>
      <c r="K25" s="33">
        <f t="shared" si="6"/>
        <v>2.0999999999999908E-3</v>
      </c>
      <c r="L25" s="33">
        <f t="shared" si="7"/>
        <v>10.499999999999954</v>
      </c>
      <c r="M25" s="34">
        <f t="shared" si="8"/>
        <v>36.000000000000057</v>
      </c>
      <c r="P25" s="57"/>
      <c r="U25" t="str">
        <f t="shared" si="5"/>
        <v/>
      </c>
      <c r="W25" t="s">
        <v>155</v>
      </c>
      <c r="X25" s="66">
        <v>45.000000000000036</v>
      </c>
      <c r="Y25" s="67">
        <v>29.75000000000005</v>
      </c>
      <c r="Z25" s="67">
        <v>15.249999999999986</v>
      </c>
      <c r="AB25" s="67"/>
    </row>
    <row r="26" spans="1:28" x14ac:dyDescent="0.2">
      <c r="A26" s="2">
        <v>5</v>
      </c>
      <c r="B26" s="2" t="s">
        <v>21</v>
      </c>
      <c r="C26" s="3">
        <v>43227</v>
      </c>
      <c r="D26" s="2">
        <v>200</v>
      </c>
      <c r="E26" s="4">
        <v>0.1283</v>
      </c>
      <c r="F26" s="6">
        <v>0.13880000000000001</v>
      </c>
      <c r="G26" s="6">
        <f t="shared" si="9"/>
        <v>1.0500000000000009E-2</v>
      </c>
      <c r="H26" s="7">
        <f t="shared" si="10"/>
        <v>52.500000000000043</v>
      </c>
      <c r="I26" s="6">
        <v>0.92869999999999997</v>
      </c>
      <c r="J26" s="33">
        <v>0.92679999999999996</v>
      </c>
      <c r="K26" s="33">
        <f t="shared" si="6"/>
        <v>1.9000000000000128E-3</v>
      </c>
      <c r="L26" s="33">
        <f t="shared" si="7"/>
        <v>9.5000000000000639</v>
      </c>
      <c r="M26" s="34">
        <f t="shared" si="8"/>
        <v>42.999999999999979</v>
      </c>
      <c r="N26" s="23"/>
      <c r="P26" s="64">
        <f>AVERAGE(H26:H27)</f>
        <v>49.250000000000057</v>
      </c>
      <c r="Q26" s="63">
        <f>AVERAGE(L26:L27)</f>
        <v>9.4999999999995097</v>
      </c>
      <c r="R26" s="63">
        <f>AVERAGE(M26:M27)</f>
        <v>39.75000000000054</v>
      </c>
      <c r="S26" t="s">
        <v>125</v>
      </c>
      <c r="T26">
        <f>T24+1</f>
        <v>12</v>
      </c>
      <c r="U26" t="str">
        <f t="shared" si="5"/>
        <v>WMS-12</v>
      </c>
      <c r="W26" t="s">
        <v>156</v>
      </c>
      <c r="X26" s="66">
        <v>40.999999999999922</v>
      </c>
      <c r="Y26" s="67">
        <v>35.000000000000028</v>
      </c>
      <c r="Z26" s="67">
        <v>5.9999999999998943</v>
      </c>
      <c r="AB26" s="67"/>
    </row>
    <row r="27" spans="1:28" x14ac:dyDescent="0.2">
      <c r="A27" s="2">
        <v>6</v>
      </c>
      <c r="B27" s="21" t="s">
        <v>22</v>
      </c>
      <c r="C27" s="3">
        <v>43227</v>
      </c>
      <c r="D27" s="2">
        <v>200</v>
      </c>
      <c r="E27" s="13">
        <v>0.12889999999999999</v>
      </c>
      <c r="F27" s="6">
        <v>0.1381</v>
      </c>
      <c r="G27" s="6">
        <f t="shared" si="9"/>
        <v>9.2000000000000137E-3</v>
      </c>
      <c r="H27" s="7">
        <f t="shared" si="10"/>
        <v>46.000000000000064</v>
      </c>
      <c r="I27" s="6">
        <v>1.0392999999999999</v>
      </c>
      <c r="J27" s="33">
        <v>1.0374000000000001</v>
      </c>
      <c r="K27" s="33">
        <f t="shared" si="6"/>
        <v>1.8999999999997907E-3</v>
      </c>
      <c r="L27" s="33">
        <f t="shared" si="7"/>
        <v>9.4999999999989537</v>
      </c>
      <c r="M27" s="34">
        <f t="shared" si="8"/>
        <v>36.500000000001108</v>
      </c>
      <c r="P27" s="57"/>
      <c r="U27" t="str">
        <f t="shared" si="5"/>
        <v/>
      </c>
      <c r="W27" t="s">
        <v>157</v>
      </c>
      <c r="X27" s="66">
        <v>43.499999999999993</v>
      </c>
      <c r="Y27" s="67">
        <v>29.249999999999901</v>
      </c>
      <c r="Z27" s="67">
        <v>14.250000000000096</v>
      </c>
      <c r="AB27" s="67"/>
    </row>
    <row r="28" spans="1:28" x14ac:dyDescent="0.2">
      <c r="A28" s="8">
        <v>7</v>
      </c>
      <c r="B28" s="8" t="s">
        <v>23</v>
      </c>
      <c r="C28" s="3">
        <v>43227</v>
      </c>
      <c r="D28" s="8">
        <v>200</v>
      </c>
      <c r="E28" s="10">
        <v>0.12559999999999999</v>
      </c>
      <c r="F28" s="11">
        <v>0.13619999999999999</v>
      </c>
      <c r="G28" s="11">
        <f t="shared" si="9"/>
        <v>1.0599999999999998E-2</v>
      </c>
      <c r="H28" s="12">
        <f t="shared" si="10"/>
        <v>52.999999999999986</v>
      </c>
      <c r="I28" s="11">
        <v>0.75180000000000002</v>
      </c>
      <c r="J28" s="33">
        <v>0.74970000000000003</v>
      </c>
      <c r="K28" s="33">
        <f t="shared" si="6"/>
        <v>2.0999999999999908E-3</v>
      </c>
      <c r="L28" s="33">
        <f t="shared" si="7"/>
        <v>10.499999999999954</v>
      </c>
      <c r="M28" s="34">
        <f t="shared" si="8"/>
        <v>42.500000000000028</v>
      </c>
      <c r="N28" s="23"/>
      <c r="P28" s="64">
        <f>AVERAGE(H28:H29)</f>
        <v>48.5</v>
      </c>
      <c r="Q28" s="63">
        <f>AVERAGE(L28:L29)</f>
        <v>10.249999999999982</v>
      </c>
      <c r="R28" s="63">
        <f>AVERAGE(M28:M29)</f>
        <v>38.250000000000014</v>
      </c>
      <c r="S28" t="s">
        <v>125</v>
      </c>
      <c r="T28">
        <f>T26+1</f>
        <v>13</v>
      </c>
      <c r="U28" t="str">
        <f t="shared" si="5"/>
        <v>WMS-13</v>
      </c>
      <c r="W28" t="s">
        <v>158</v>
      </c>
      <c r="X28" s="66">
        <v>40.50000000000005</v>
      </c>
      <c r="Y28" s="67">
        <v>27.000000000000149</v>
      </c>
      <c r="Z28" s="67">
        <v>13.499999999999901</v>
      </c>
      <c r="AB28" s="67"/>
    </row>
    <row r="29" spans="1:28" x14ac:dyDescent="0.2">
      <c r="A29" s="8">
        <v>8</v>
      </c>
      <c r="B29" s="8" t="s">
        <v>24</v>
      </c>
      <c r="C29" s="3">
        <v>43227</v>
      </c>
      <c r="D29" s="8">
        <v>200</v>
      </c>
      <c r="E29" s="10">
        <v>0.12720000000000001</v>
      </c>
      <c r="F29" s="11">
        <v>0.13600000000000001</v>
      </c>
      <c r="G29" s="11">
        <f t="shared" si="9"/>
        <v>8.8000000000000023E-3</v>
      </c>
      <c r="H29" s="12">
        <f t="shared" si="10"/>
        <v>44.000000000000007</v>
      </c>
      <c r="I29" s="11">
        <v>0.59399999999999997</v>
      </c>
      <c r="J29" s="33">
        <v>0.59199999999999997</v>
      </c>
      <c r="K29" s="33">
        <f t="shared" si="6"/>
        <v>2.0000000000000018E-3</v>
      </c>
      <c r="L29" s="33">
        <f t="shared" si="7"/>
        <v>10.000000000000009</v>
      </c>
      <c r="M29" s="34">
        <f t="shared" si="8"/>
        <v>34</v>
      </c>
      <c r="U29" t="str">
        <f t="shared" si="5"/>
        <v/>
      </c>
      <c r="W29" t="s">
        <v>159</v>
      </c>
      <c r="X29" s="66">
        <v>45.999999999999929</v>
      </c>
      <c r="Y29" s="67">
        <v>28.999999999999858</v>
      </c>
      <c r="Z29" s="67">
        <v>17.000000000000071</v>
      </c>
      <c r="AB29" s="67"/>
    </row>
    <row r="30" spans="1:28" x14ac:dyDescent="0.2">
      <c r="A30" s="2">
        <v>9</v>
      </c>
      <c r="B30" s="2" t="s">
        <v>27</v>
      </c>
      <c r="C30" s="3">
        <v>43227</v>
      </c>
      <c r="D30" s="2">
        <v>200</v>
      </c>
      <c r="E30" s="21">
        <v>0.12759999999999999</v>
      </c>
      <c r="F30" s="6">
        <v>0.12740000000000001</v>
      </c>
      <c r="G30" s="11">
        <f t="shared" si="9"/>
        <v>-1.9999999999997797E-4</v>
      </c>
      <c r="H30" s="7">
        <f t="shared" si="10"/>
        <v>-0.99999999999988987</v>
      </c>
      <c r="I30" s="6">
        <v>0.73380000000000001</v>
      </c>
      <c r="J30" s="33">
        <v>0.59799999999999998</v>
      </c>
      <c r="K30" s="33">
        <f t="shared" si="6"/>
        <v>0.13580000000000003</v>
      </c>
      <c r="L30" s="33">
        <f t="shared" si="7"/>
        <v>679.00000000000011</v>
      </c>
      <c r="M30" s="34">
        <f t="shared" si="8"/>
        <v>-680</v>
      </c>
      <c r="N30" s="60" t="s">
        <v>93</v>
      </c>
      <c r="O30">
        <v>0.59799999999999998</v>
      </c>
      <c r="Q30" s="63"/>
      <c r="R30" s="63"/>
      <c r="U30" t="str">
        <f t="shared" si="5"/>
        <v/>
      </c>
      <c r="W30" t="s">
        <v>160</v>
      </c>
      <c r="X30" s="66">
        <v>27.499999999999986</v>
      </c>
      <c r="Y30" s="67">
        <v>14.25000000000006</v>
      </c>
      <c r="Z30" s="67">
        <v>13.249999999999929</v>
      </c>
      <c r="AB30" s="67"/>
    </row>
    <row r="31" spans="1:28" x14ac:dyDescent="0.2">
      <c r="A31" s="2">
        <v>10</v>
      </c>
      <c r="B31" s="2" t="s">
        <v>28</v>
      </c>
      <c r="C31" s="3">
        <v>43228</v>
      </c>
      <c r="D31" s="2">
        <v>200</v>
      </c>
      <c r="E31" s="4">
        <v>0.1268</v>
      </c>
      <c r="F31" s="6">
        <v>0.13589999999999999</v>
      </c>
      <c r="G31" s="11">
        <f t="shared" si="9"/>
        <v>9.099999999999997E-3</v>
      </c>
      <c r="H31" s="7">
        <f t="shared" si="10"/>
        <v>45.499999999999986</v>
      </c>
      <c r="I31" s="6">
        <v>0.67230000000000001</v>
      </c>
      <c r="J31" s="33">
        <v>0.67020000000000002</v>
      </c>
      <c r="K31" s="33">
        <f t="shared" si="6"/>
        <v>2.0999999999999908E-3</v>
      </c>
      <c r="L31" s="33">
        <f t="shared" si="7"/>
        <v>10.499999999999954</v>
      </c>
      <c r="M31" s="34">
        <f t="shared" si="8"/>
        <v>35.000000000000028</v>
      </c>
      <c r="P31" s="64">
        <f>AVERAGE(H31:H32)</f>
        <v>45.750000000000028</v>
      </c>
      <c r="Q31" s="63">
        <f>AVERAGE(L31:L32)</f>
        <v>10.249999999999982</v>
      </c>
      <c r="R31" s="63">
        <f>AVERAGE(M31:M32)</f>
        <v>35.500000000000043</v>
      </c>
      <c r="S31" t="s">
        <v>125</v>
      </c>
      <c r="T31">
        <f>T28+1</f>
        <v>14</v>
      </c>
      <c r="U31" t="str">
        <f t="shared" si="5"/>
        <v>WMS-14</v>
      </c>
      <c r="W31" t="s">
        <v>161</v>
      </c>
      <c r="X31" s="66">
        <v>43.250000000000021</v>
      </c>
      <c r="Y31" s="67">
        <v>33.250000000000014</v>
      </c>
      <c r="Z31" s="67">
        <v>10.000000000000009</v>
      </c>
      <c r="AB31" s="67"/>
    </row>
    <row r="32" spans="1:28" x14ac:dyDescent="0.2">
      <c r="A32" s="8">
        <v>11</v>
      </c>
      <c r="B32" s="8" t="s">
        <v>29</v>
      </c>
      <c r="C32" s="9">
        <v>43228</v>
      </c>
      <c r="D32" s="8">
        <v>200</v>
      </c>
      <c r="E32" s="10">
        <v>0.1263</v>
      </c>
      <c r="F32" s="11">
        <v>0.13550000000000001</v>
      </c>
      <c r="G32" s="11">
        <f t="shared" si="9"/>
        <v>9.2000000000000137E-3</v>
      </c>
      <c r="H32" s="7">
        <f t="shared" si="10"/>
        <v>46.000000000000064</v>
      </c>
      <c r="I32" s="11">
        <v>0.58289999999999997</v>
      </c>
      <c r="J32" s="33">
        <v>0.58089999999999997</v>
      </c>
      <c r="K32" s="33">
        <f>I32-J32</f>
        <v>2.0000000000000018E-3</v>
      </c>
      <c r="L32" s="33">
        <f>(K32*1000)/(D32/1000)</f>
        <v>10.000000000000009</v>
      </c>
      <c r="M32" s="34">
        <f>H32-L32</f>
        <v>36.000000000000057</v>
      </c>
      <c r="N32" s="23"/>
      <c r="P32" s="57"/>
      <c r="U32" t="str">
        <f t="shared" si="5"/>
        <v/>
      </c>
      <c r="W32" t="s">
        <v>162</v>
      </c>
      <c r="X32" s="66">
        <v>40.500000000000043</v>
      </c>
      <c r="Y32" s="67">
        <v>31.500000000000206</v>
      </c>
      <c r="Z32" s="67">
        <v>8.9999999999998419</v>
      </c>
      <c r="AB32" s="67"/>
    </row>
    <row r="33" spans="1:28" x14ac:dyDescent="0.2">
      <c r="A33" s="14">
        <v>12</v>
      </c>
      <c r="B33" s="14" t="s">
        <v>30</v>
      </c>
      <c r="C33" s="3">
        <v>43228</v>
      </c>
      <c r="D33" s="8">
        <v>200</v>
      </c>
      <c r="E33" s="10">
        <v>0.1293</v>
      </c>
      <c r="F33" s="11">
        <v>0.13700000000000001</v>
      </c>
      <c r="G33" s="11">
        <f t="shared" si="9"/>
        <v>7.7000000000000124E-3</v>
      </c>
      <c r="H33" s="7">
        <f t="shared" si="10"/>
        <v>38.500000000000064</v>
      </c>
      <c r="I33" s="15">
        <v>0.72140000000000004</v>
      </c>
      <c r="J33" s="54">
        <v>0.71919999999999995</v>
      </c>
      <c r="K33" s="33">
        <f>I33-J33</f>
        <v>2.2000000000000908E-3</v>
      </c>
      <c r="L33" s="33">
        <f>(K33*1000)/(D33/1000)</f>
        <v>11.000000000000453</v>
      </c>
      <c r="M33" s="34">
        <f>H33-L33</f>
        <v>27.499999999999609</v>
      </c>
      <c r="N33" s="23"/>
      <c r="P33" s="64">
        <f>AVERAGE(H33:H34)</f>
        <v>43.5</v>
      </c>
      <c r="Q33" s="63">
        <f>AVERAGE(L33:L34)</f>
        <v>11.500000000000121</v>
      </c>
      <c r="R33" s="63">
        <f>AVERAGE(M33:M34)</f>
        <v>31.999999999999876</v>
      </c>
      <c r="S33" t="s">
        <v>125</v>
      </c>
      <c r="T33">
        <f>T31+1</f>
        <v>15</v>
      </c>
      <c r="U33" t="str">
        <f t="shared" si="5"/>
        <v>WMS-15</v>
      </c>
      <c r="X33" s="66"/>
      <c r="Y33" s="67"/>
      <c r="Z33" s="67"/>
      <c r="AB33" s="67"/>
    </row>
    <row r="34" spans="1:28" x14ac:dyDescent="0.2">
      <c r="A34" s="45">
        <v>13</v>
      </c>
      <c r="B34" s="45" t="s">
        <v>31</v>
      </c>
      <c r="C34" s="9">
        <v>43228</v>
      </c>
      <c r="D34" s="21">
        <v>200</v>
      </c>
      <c r="E34" s="47">
        <v>0.12640000000000001</v>
      </c>
      <c r="F34" s="22">
        <v>0.1361</v>
      </c>
      <c r="G34" s="22">
        <f t="shared" si="9"/>
        <v>9.6999999999999864E-3</v>
      </c>
      <c r="H34" s="48">
        <f t="shared" si="10"/>
        <v>48.499999999999929</v>
      </c>
      <c r="I34" s="49">
        <v>0.7389</v>
      </c>
      <c r="J34" s="50">
        <v>0.73650000000000004</v>
      </c>
      <c r="K34" s="35">
        <f>I34-J34</f>
        <v>2.3999999999999577E-3</v>
      </c>
      <c r="L34" s="35">
        <f>(K34*1000)/(D34/1000)</f>
        <v>11.999999999999789</v>
      </c>
      <c r="M34" s="51">
        <f>H34-L34</f>
        <v>36.500000000000142</v>
      </c>
      <c r="N34" s="23"/>
      <c r="P34" s="57"/>
      <c r="U34" t="str">
        <f t="shared" si="5"/>
        <v/>
      </c>
      <c r="W34" t="s">
        <v>163</v>
      </c>
      <c r="X34" s="66">
        <v>53.5</v>
      </c>
      <c r="Y34" s="67">
        <v>42.500000000000107</v>
      </c>
      <c r="Z34" s="67">
        <v>10.999999999999899</v>
      </c>
      <c r="AB34" s="67"/>
    </row>
    <row r="35" spans="1:28" x14ac:dyDescent="0.2">
      <c r="A35" s="45">
        <v>14</v>
      </c>
      <c r="B35" s="45" t="s">
        <v>32</v>
      </c>
      <c r="C35" s="3">
        <v>43228</v>
      </c>
      <c r="D35" s="21">
        <v>200</v>
      </c>
      <c r="E35" s="47">
        <v>0.1285</v>
      </c>
      <c r="F35" s="22">
        <v>0.13639999999999999</v>
      </c>
      <c r="G35" s="22">
        <f t="shared" si="9"/>
        <v>7.8999999999999904E-3</v>
      </c>
      <c r="H35" s="48">
        <f t="shared" si="10"/>
        <v>39.49999999999995</v>
      </c>
      <c r="I35" s="49">
        <v>0.68559999999999999</v>
      </c>
      <c r="J35" s="50">
        <v>0.68340000000000001</v>
      </c>
      <c r="K35" s="35">
        <f>I35-J35</f>
        <v>2.1999999999999797E-3</v>
      </c>
      <c r="L35" s="35">
        <f>(K35*1000)/(D35/1000)</f>
        <v>10.999999999999899</v>
      </c>
      <c r="M35" s="51">
        <f>H35-L35</f>
        <v>28.50000000000005</v>
      </c>
      <c r="P35" s="64">
        <f>AVERAGE(H35:H36)</f>
        <v>40.749999999999957</v>
      </c>
      <c r="Q35" s="63">
        <f>AVERAGE(L35:L36)</f>
        <v>10.249999999999982</v>
      </c>
      <c r="R35" s="63">
        <f>AVERAGE(M35:M36)</f>
        <v>30.499999999999972</v>
      </c>
      <c r="S35" t="s">
        <v>125</v>
      </c>
      <c r="T35">
        <f>T33+1</f>
        <v>16</v>
      </c>
      <c r="U35" t="str">
        <f t="shared" si="5"/>
        <v>WMS-16</v>
      </c>
      <c r="W35" t="s">
        <v>164</v>
      </c>
      <c r="X35" s="66">
        <v>47.999999999999986</v>
      </c>
      <c r="Y35" s="67">
        <v>36.000000000000199</v>
      </c>
      <c r="Z35" s="67">
        <v>11.999999999999789</v>
      </c>
      <c r="AB35" s="67"/>
    </row>
    <row r="36" spans="1:28" x14ac:dyDescent="0.2">
      <c r="A36" s="8">
        <v>15</v>
      </c>
      <c r="B36" s="8" t="s">
        <v>33</v>
      </c>
      <c r="C36" s="9">
        <v>43228</v>
      </c>
      <c r="D36" s="8">
        <v>200</v>
      </c>
      <c r="E36" s="44">
        <v>0.1278</v>
      </c>
      <c r="F36" s="11">
        <v>0.13619999999999999</v>
      </c>
      <c r="G36" s="11">
        <f t="shared" si="9"/>
        <v>8.3999999999999908E-3</v>
      </c>
      <c r="H36" s="12">
        <f t="shared" si="10"/>
        <v>41.999999999999957</v>
      </c>
      <c r="I36" s="11">
        <v>0.66839999999999999</v>
      </c>
      <c r="J36" s="33">
        <v>0.66649999999999998</v>
      </c>
      <c r="K36" s="35">
        <f>I36-J36</f>
        <v>1.9000000000000128E-3</v>
      </c>
      <c r="L36" s="35">
        <f>(K36*1000)/(D36/1000)</f>
        <v>9.5000000000000639</v>
      </c>
      <c r="M36" s="51">
        <f>H36-L36</f>
        <v>32.499999999999893</v>
      </c>
      <c r="N36" s="23"/>
      <c r="P36" s="57"/>
      <c r="Q36" s="63"/>
      <c r="R36" s="63"/>
      <c r="U36" t="str">
        <f t="shared" si="5"/>
        <v/>
      </c>
      <c r="W36" t="s">
        <v>165</v>
      </c>
      <c r="X36" s="66">
        <v>49.75</v>
      </c>
      <c r="Y36" s="67">
        <v>34.250000000000043</v>
      </c>
      <c r="Z36" s="67">
        <v>15.499999999999957</v>
      </c>
      <c r="AB36" s="67"/>
    </row>
    <row r="37" spans="1:28" x14ac:dyDescent="0.2">
      <c r="A37" s="16">
        <v>16</v>
      </c>
      <c r="B37" s="16" t="s">
        <v>34</v>
      </c>
      <c r="C37" s="3">
        <v>43228</v>
      </c>
      <c r="D37" s="8">
        <v>200</v>
      </c>
      <c r="E37" s="10">
        <v>0.12670000000000001</v>
      </c>
      <c r="F37" s="17">
        <v>0.13619999999999999</v>
      </c>
      <c r="G37" s="11">
        <f t="shared" si="9"/>
        <v>9.4999999999999807E-3</v>
      </c>
      <c r="H37" s="7">
        <f t="shared" si="10"/>
        <v>47.499999999999901</v>
      </c>
      <c r="I37" s="18">
        <v>0.73399999999999999</v>
      </c>
      <c r="J37" s="33">
        <v>0.73199999999999998</v>
      </c>
      <c r="K37" s="35">
        <f t="shared" ref="K37:K47" si="11">I37-J37</f>
        <v>2.0000000000000018E-3</v>
      </c>
      <c r="L37" s="35">
        <f t="shared" ref="L37:L47" si="12">(K37*1000)/(D37/1000)</f>
        <v>10.000000000000009</v>
      </c>
      <c r="M37" s="51">
        <f t="shared" ref="M37:M47" si="13">H37-L37</f>
        <v>37.499999999999893</v>
      </c>
      <c r="P37" s="64">
        <f>AVERAGE(H37:H38)</f>
        <v>45.499999999999986</v>
      </c>
      <c r="Q37" s="63">
        <f>AVERAGE(L37:L38)</f>
        <v>10.499999999999954</v>
      </c>
      <c r="R37" s="63">
        <f>AVERAGE(M37:M38)</f>
        <v>35.000000000000028</v>
      </c>
      <c r="S37" t="s">
        <v>125</v>
      </c>
      <c r="T37">
        <f>T35+1</f>
        <v>17</v>
      </c>
      <c r="U37" t="str">
        <f t="shared" si="5"/>
        <v>WMS-17</v>
      </c>
      <c r="W37" t="s">
        <v>166</v>
      </c>
      <c r="X37" s="66">
        <v>51.500000000000014</v>
      </c>
      <c r="Y37" s="67">
        <v>33.250000000000085</v>
      </c>
      <c r="Z37" s="67">
        <v>18.249999999999929</v>
      </c>
      <c r="AB37" s="67"/>
    </row>
    <row r="38" spans="1:28" x14ac:dyDescent="0.2">
      <c r="A38" s="21">
        <v>17</v>
      </c>
      <c r="B38" s="21" t="s">
        <v>35</v>
      </c>
      <c r="C38" s="9">
        <v>43228</v>
      </c>
      <c r="D38" s="21">
        <v>200</v>
      </c>
      <c r="E38" s="47">
        <v>0.1268</v>
      </c>
      <c r="F38" s="22">
        <v>0.13550000000000001</v>
      </c>
      <c r="G38" s="22">
        <f t="shared" si="9"/>
        <v>8.7000000000000133E-3</v>
      </c>
      <c r="H38" s="48">
        <f t="shared" si="10"/>
        <v>43.500000000000064</v>
      </c>
      <c r="I38" s="22">
        <v>0.61360000000000003</v>
      </c>
      <c r="J38" s="33">
        <v>0.61140000000000005</v>
      </c>
      <c r="K38" s="35">
        <f t="shared" si="11"/>
        <v>2.1999999999999797E-3</v>
      </c>
      <c r="L38" s="35">
        <f t="shared" si="12"/>
        <v>10.999999999999899</v>
      </c>
      <c r="M38" s="51">
        <f t="shared" si="13"/>
        <v>32.500000000000163</v>
      </c>
      <c r="N38" s="23"/>
      <c r="Q38" s="63"/>
      <c r="R38" s="63"/>
      <c r="U38" t="str">
        <f t="shared" si="5"/>
        <v/>
      </c>
      <c r="W38" t="s">
        <v>167</v>
      </c>
      <c r="X38" s="66">
        <v>59.249999999999986</v>
      </c>
      <c r="Y38" s="67">
        <v>42.999999999999559</v>
      </c>
      <c r="Z38" s="67">
        <v>16.25000000000043</v>
      </c>
      <c r="AB38" s="67"/>
    </row>
    <row r="39" spans="1:28" x14ac:dyDescent="0.2">
      <c r="A39" s="21">
        <v>18</v>
      </c>
      <c r="B39" s="21" t="s">
        <v>36</v>
      </c>
      <c r="C39" s="3">
        <v>43228</v>
      </c>
      <c r="D39" s="21">
        <v>200</v>
      </c>
      <c r="E39" s="47">
        <v>0.1273</v>
      </c>
      <c r="F39" s="22">
        <v>0.12709999999999999</v>
      </c>
      <c r="G39" s="22">
        <f t="shared" si="9"/>
        <v>-2.0000000000000573E-4</v>
      </c>
      <c r="H39" s="48">
        <f t="shared" si="10"/>
        <v>-1.0000000000000286</v>
      </c>
      <c r="I39" s="22">
        <v>0.59830000000000005</v>
      </c>
      <c r="J39" s="33">
        <v>0.73309999999999997</v>
      </c>
      <c r="K39" s="35">
        <f>I39-J39</f>
        <v>-0.13479999999999992</v>
      </c>
      <c r="L39" s="35">
        <f>(K39*1000)/(D39/1000)</f>
        <v>-673.99999999999955</v>
      </c>
      <c r="M39" s="51">
        <f>H39-L39</f>
        <v>672.99999999999955</v>
      </c>
      <c r="N39" s="61" t="s">
        <v>93</v>
      </c>
      <c r="O39">
        <v>0.73329999999999995</v>
      </c>
      <c r="U39" t="str">
        <f t="shared" si="5"/>
        <v/>
      </c>
      <c r="W39" t="s">
        <v>168</v>
      </c>
      <c r="X39" s="66">
        <v>50.749999999999957</v>
      </c>
      <c r="Y39" s="67">
        <v>40.000000000000028</v>
      </c>
      <c r="Z39" s="67">
        <v>10.749999999999925</v>
      </c>
      <c r="AB39" s="67"/>
    </row>
    <row r="40" spans="1:28" x14ac:dyDescent="0.2">
      <c r="A40" s="8">
        <v>18</v>
      </c>
      <c r="B40" s="8" t="s">
        <v>37</v>
      </c>
      <c r="C40" s="46">
        <v>43229</v>
      </c>
      <c r="D40" s="8">
        <v>200</v>
      </c>
      <c r="E40" s="10">
        <v>0.12640000000000001</v>
      </c>
      <c r="F40" s="11">
        <v>0.13450000000000001</v>
      </c>
      <c r="G40" s="11">
        <f t="shared" si="9"/>
        <v>8.0999999999999961E-3</v>
      </c>
      <c r="H40" s="12">
        <f t="shared" si="10"/>
        <v>40.499999999999979</v>
      </c>
      <c r="I40" s="11">
        <v>0.67589999999999995</v>
      </c>
      <c r="J40" s="33">
        <v>0.67310000000000003</v>
      </c>
      <c r="K40" s="35">
        <f t="shared" si="11"/>
        <v>2.7999999999999137E-3</v>
      </c>
      <c r="L40" s="35">
        <f t="shared" si="12"/>
        <v>13.999999999999568</v>
      </c>
      <c r="M40" s="51">
        <f t="shared" si="13"/>
        <v>26.500000000000412</v>
      </c>
      <c r="N40" s="23"/>
      <c r="P40" s="64">
        <f>AVERAGE(H40:H41)</f>
        <v>41.99999999999995</v>
      </c>
      <c r="Q40" s="63">
        <f>AVERAGE(L40:L41)</f>
        <v>13.749999999999872</v>
      </c>
      <c r="R40" s="63">
        <f>AVERAGE(M40:M41)</f>
        <v>28.250000000000078</v>
      </c>
      <c r="S40" t="s">
        <v>125</v>
      </c>
      <c r="T40">
        <f>T37+1</f>
        <v>18</v>
      </c>
      <c r="U40" t="str">
        <f t="shared" si="5"/>
        <v>WMS-18</v>
      </c>
      <c r="W40" t="s">
        <v>169</v>
      </c>
      <c r="X40" s="66">
        <v>49.75</v>
      </c>
      <c r="Y40" s="67">
        <v>39.500000000000014</v>
      </c>
      <c r="Z40" s="67">
        <v>10.249999999999982</v>
      </c>
      <c r="AB40" s="67"/>
    </row>
    <row r="41" spans="1:28" x14ac:dyDescent="0.2">
      <c r="A41" s="8">
        <v>19</v>
      </c>
      <c r="B41" s="8" t="s">
        <v>38</v>
      </c>
      <c r="C41" s="9">
        <v>43229</v>
      </c>
      <c r="D41" s="8">
        <v>200</v>
      </c>
      <c r="E41" s="10">
        <v>0.12670000000000001</v>
      </c>
      <c r="F41" s="21">
        <v>0.13539999999999999</v>
      </c>
      <c r="G41" s="11">
        <f t="shared" si="9"/>
        <v>8.6999999999999855E-3</v>
      </c>
      <c r="H41" s="7">
        <f t="shared" si="10"/>
        <v>43.499999999999922</v>
      </c>
      <c r="I41" s="21">
        <v>0.63770000000000004</v>
      </c>
      <c r="J41" s="33">
        <v>0.63500000000000001</v>
      </c>
      <c r="K41" s="35">
        <f t="shared" si="11"/>
        <v>2.7000000000000357E-3</v>
      </c>
      <c r="L41" s="35">
        <f t="shared" si="12"/>
        <v>13.500000000000178</v>
      </c>
      <c r="M41" s="51">
        <f t="shared" si="13"/>
        <v>29.999999999999744</v>
      </c>
      <c r="P41" s="57"/>
      <c r="U41" t="str">
        <f t="shared" si="5"/>
        <v/>
      </c>
      <c r="W41" t="s">
        <v>170</v>
      </c>
      <c r="X41" s="66">
        <v>54.249999999999986</v>
      </c>
      <c r="Y41" s="67">
        <v>45.249999999999872</v>
      </c>
      <c r="Z41" s="67">
        <v>9.000000000000119</v>
      </c>
      <c r="AB41" s="67"/>
    </row>
    <row r="42" spans="1:28" x14ac:dyDescent="0.2">
      <c r="A42" s="8">
        <v>20</v>
      </c>
      <c r="B42" s="8" t="s">
        <v>39</v>
      </c>
      <c r="C42" s="46">
        <v>43229</v>
      </c>
      <c r="D42" s="8">
        <v>200</v>
      </c>
      <c r="E42" s="10">
        <v>0.12640000000000001</v>
      </c>
      <c r="F42" s="21">
        <v>0.1351</v>
      </c>
      <c r="G42" s="11">
        <f t="shared" si="9"/>
        <v>8.6999999999999855E-3</v>
      </c>
      <c r="H42" s="7">
        <f t="shared" si="10"/>
        <v>43.499999999999922</v>
      </c>
      <c r="I42" s="21">
        <v>0.63970000000000005</v>
      </c>
      <c r="J42" s="33">
        <v>0.63680000000000003</v>
      </c>
      <c r="K42" s="35">
        <f>I42-J42</f>
        <v>2.9000000000000137E-3</v>
      </c>
      <c r="L42" s="35">
        <f t="shared" si="12"/>
        <v>14.500000000000068</v>
      </c>
      <c r="M42" s="51">
        <f t="shared" si="13"/>
        <v>28.999999999999854</v>
      </c>
      <c r="N42" s="23"/>
      <c r="P42" s="64">
        <f>AVERAGE(H42:H43)</f>
        <v>42.499999999999964</v>
      </c>
      <c r="Q42" s="63">
        <f>AVERAGE(L42:L43)</f>
        <v>15.000000000000012</v>
      </c>
      <c r="R42" s="63">
        <f>AVERAGE(M42:M43)</f>
        <v>27.49999999999995</v>
      </c>
      <c r="S42" t="s">
        <v>125</v>
      </c>
      <c r="T42">
        <f>T40+1</f>
        <v>19</v>
      </c>
      <c r="U42" t="str">
        <f t="shared" si="5"/>
        <v>WMS-19</v>
      </c>
      <c r="W42" t="s">
        <v>171</v>
      </c>
      <c r="X42" s="66">
        <v>47.999999999999915</v>
      </c>
      <c r="Y42" s="67">
        <v>38.499999999999851</v>
      </c>
      <c r="Z42" s="67">
        <v>9.5000000000000639</v>
      </c>
      <c r="AB42" s="67"/>
    </row>
    <row r="43" spans="1:28" x14ac:dyDescent="0.2">
      <c r="A43" s="2">
        <v>21</v>
      </c>
      <c r="B43" s="2" t="s">
        <v>40</v>
      </c>
      <c r="C43" s="9">
        <v>43229</v>
      </c>
      <c r="D43" s="2">
        <v>200</v>
      </c>
      <c r="E43" s="4">
        <v>0.12540000000000001</v>
      </c>
      <c r="F43" s="24">
        <v>0.13370000000000001</v>
      </c>
      <c r="G43" s="11">
        <f t="shared" si="9"/>
        <v>8.3000000000000018E-3</v>
      </c>
      <c r="H43" s="7">
        <f t="shared" si="10"/>
        <v>41.500000000000007</v>
      </c>
      <c r="I43" s="24">
        <v>0.67710000000000004</v>
      </c>
      <c r="J43" s="33">
        <v>0.67400000000000004</v>
      </c>
      <c r="K43" s="35">
        <f t="shared" si="11"/>
        <v>3.0999999999999917E-3</v>
      </c>
      <c r="L43" s="35">
        <f t="shared" si="12"/>
        <v>15.499999999999957</v>
      </c>
      <c r="M43" s="51">
        <f t="shared" si="13"/>
        <v>26.00000000000005</v>
      </c>
      <c r="P43" s="57"/>
      <c r="U43" t="str">
        <f t="shared" si="5"/>
        <v/>
      </c>
      <c r="X43" s="66"/>
      <c r="Y43" s="67"/>
      <c r="Z43" s="67"/>
      <c r="AB43" s="67"/>
    </row>
    <row r="44" spans="1:28" x14ac:dyDescent="0.2">
      <c r="A44" s="2">
        <v>22</v>
      </c>
      <c r="B44" s="2" t="s">
        <v>41</v>
      </c>
      <c r="C44" s="46">
        <v>43229</v>
      </c>
      <c r="D44" s="2">
        <v>200</v>
      </c>
      <c r="E44" s="4">
        <v>0.12559999999999999</v>
      </c>
      <c r="F44" s="30">
        <v>0.13370000000000001</v>
      </c>
      <c r="G44" s="11">
        <f t="shared" si="9"/>
        <v>8.1000000000000238E-3</v>
      </c>
      <c r="H44" s="7">
        <f t="shared" si="10"/>
        <v>40.500000000000121</v>
      </c>
      <c r="I44" s="30">
        <v>0.65290000000000004</v>
      </c>
      <c r="J44" s="33">
        <v>0.64980000000000004</v>
      </c>
      <c r="K44" s="35">
        <f t="shared" si="11"/>
        <v>3.0999999999999917E-3</v>
      </c>
      <c r="L44" s="35">
        <f t="shared" si="12"/>
        <v>15.499999999999957</v>
      </c>
      <c r="M44" s="51">
        <f t="shared" si="13"/>
        <v>25.000000000000163</v>
      </c>
      <c r="N44" s="23"/>
      <c r="P44" s="64">
        <f>AVERAGE(H44:H45)</f>
        <v>44.750000000000064</v>
      </c>
      <c r="Q44" s="63">
        <f>AVERAGE(L44:L45)</f>
        <v>15.999999999999902</v>
      </c>
      <c r="R44" s="63">
        <f>AVERAGE(M44:M45)</f>
        <v>28.75000000000016</v>
      </c>
      <c r="S44" t="s">
        <v>125</v>
      </c>
      <c r="T44">
        <f>T42+1</f>
        <v>20</v>
      </c>
      <c r="U44" t="str">
        <f t="shared" si="5"/>
        <v>WMS-20</v>
      </c>
      <c r="W44" t="s">
        <v>113</v>
      </c>
      <c r="X44" s="66">
        <v>62.749999999999957</v>
      </c>
      <c r="Y44" s="67">
        <v>52.999999999999922</v>
      </c>
      <c r="Z44" s="67">
        <v>9.7500000000000355</v>
      </c>
      <c r="AB44" s="67"/>
    </row>
    <row r="45" spans="1:28" x14ac:dyDescent="0.2">
      <c r="A45" s="8">
        <v>23</v>
      </c>
      <c r="B45" s="8" t="s">
        <v>42</v>
      </c>
      <c r="C45" s="9">
        <v>43229</v>
      </c>
      <c r="D45" s="2">
        <v>200</v>
      </c>
      <c r="E45" s="10">
        <v>0.12520000000000001</v>
      </c>
      <c r="F45" s="24">
        <v>0.13500000000000001</v>
      </c>
      <c r="G45" s="11">
        <f t="shared" si="9"/>
        <v>9.8000000000000032E-3</v>
      </c>
      <c r="H45" s="7">
        <f t="shared" si="10"/>
        <v>49.000000000000007</v>
      </c>
      <c r="I45" s="24">
        <v>0.72899999999999998</v>
      </c>
      <c r="J45" s="33">
        <v>0.72570000000000001</v>
      </c>
      <c r="K45" s="35">
        <f t="shared" si="11"/>
        <v>3.2999999999999696E-3</v>
      </c>
      <c r="L45" s="35">
        <f t="shared" si="12"/>
        <v>16.499999999999847</v>
      </c>
      <c r="M45" s="51">
        <f t="shared" si="13"/>
        <v>32.500000000000156</v>
      </c>
      <c r="P45" s="57"/>
      <c r="U45" t="str">
        <f t="shared" si="5"/>
        <v/>
      </c>
      <c r="W45" t="s">
        <v>114</v>
      </c>
      <c r="X45" s="66">
        <v>59.000000000000021</v>
      </c>
      <c r="Y45" s="67">
        <v>48.500000000000071</v>
      </c>
      <c r="Z45" s="67">
        <v>10.499999999999954</v>
      </c>
      <c r="AB45" s="67"/>
    </row>
    <row r="46" spans="1:28" s="20" customFormat="1" x14ac:dyDescent="0.2">
      <c r="A46" s="8">
        <v>24</v>
      </c>
      <c r="B46" s="8" t="s">
        <v>43</v>
      </c>
      <c r="C46" s="46">
        <v>43229</v>
      </c>
      <c r="D46" s="2">
        <v>200</v>
      </c>
      <c r="E46" s="10">
        <v>0.12620000000000001</v>
      </c>
      <c r="F46" s="24">
        <v>0.13469999999999999</v>
      </c>
      <c r="G46" s="11">
        <f t="shared" si="9"/>
        <v>8.4999999999999798E-3</v>
      </c>
      <c r="H46" s="7">
        <f t="shared" si="10"/>
        <v>42.499999999999901</v>
      </c>
      <c r="I46" s="24">
        <v>0.66239999999999999</v>
      </c>
      <c r="J46" s="33">
        <v>0.65910000000000002</v>
      </c>
      <c r="K46" s="35">
        <f t="shared" si="11"/>
        <v>3.2999999999999696E-3</v>
      </c>
      <c r="L46" s="35">
        <f t="shared" si="12"/>
        <v>16.499999999999847</v>
      </c>
      <c r="M46" s="51">
        <f t="shared" si="13"/>
        <v>26.000000000000053</v>
      </c>
      <c r="N46" s="23"/>
      <c r="P46" s="64">
        <f>AVERAGE(H46:H47)</f>
        <v>45.249999999999943</v>
      </c>
      <c r="Q46" s="63">
        <f>AVERAGE(L46:L47)</f>
        <v>16.500000000000124</v>
      </c>
      <c r="R46" s="63">
        <f>AVERAGE(M46:M47)</f>
        <v>28.749999999999819</v>
      </c>
      <c r="S46" t="s">
        <v>125</v>
      </c>
      <c r="T46">
        <f>T44+1</f>
        <v>21</v>
      </c>
      <c r="U46" t="str">
        <f t="shared" si="5"/>
        <v>WMS-21</v>
      </c>
      <c r="W46" t="s">
        <v>115</v>
      </c>
      <c r="X46" s="66">
        <v>54.250000000000057</v>
      </c>
      <c r="Y46" s="67">
        <v>44.000000000000071</v>
      </c>
      <c r="Z46" s="67">
        <v>10.249999999999982</v>
      </c>
      <c r="AB46" s="67"/>
    </row>
    <row r="47" spans="1:28" s="20" customFormat="1" x14ac:dyDescent="0.2">
      <c r="A47" s="21">
        <v>25</v>
      </c>
      <c r="B47" s="28" t="s">
        <v>44</v>
      </c>
      <c r="C47" s="9">
        <v>43229</v>
      </c>
      <c r="D47" s="2">
        <v>200</v>
      </c>
      <c r="E47" s="22">
        <v>0.12620000000000001</v>
      </c>
      <c r="F47" s="30">
        <v>0.1358</v>
      </c>
      <c r="G47" s="11">
        <f t="shared" si="9"/>
        <v>9.5999999999999974E-3</v>
      </c>
      <c r="H47" s="7">
        <f t="shared" si="10"/>
        <v>47.999999999999986</v>
      </c>
      <c r="I47" s="30">
        <v>0.68</v>
      </c>
      <c r="J47" s="33">
        <v>0.67669999999999997</v>
      </c>
      <c r="K47" s="35">
        <f t="shared" si="11"/>
        <v>3.3000000000000806E-3</v>
      </c>
      <c r="L47" s="35">
        <f t="shared" si="12"/>
        <v>16.500000000000401</v>
      </c>
      <c r="M47" s="51">
        <f t="shared" si="13"/>
        <v>31.499999999999584</v>
      </c>
      <c r="T47"/>
      <c r="U47" t="str">
        <f t="shared" si="5"/>
        <v/>
      </c>
      <c r="W47" t="s">
        <v>116</v>
      </c>
      <c r="X47" s="66">
        <v>58.25</v>
      </c>
      <c r="Y47" s="67">
        <v>44.500000000000128</v>
      </c>
      <c r="Z47" s="67">
        <v>13.749999999999872</v>
      </c>
      <c r="AB47" s="67"/>
    </row>
    <row r="48" spans="1:28" x14ac:dyDescent="0.2">
      <c r="A48" s="21">
        <v>26</v>
      </c>
      <c r="B48" s="28" t="s">
        <v>45</v>
      </c>
      <c r="C48" s="46">
        <v>43229</v>
      </c>
      <c r="D48" s="2">
        <v>200</v>
      </c>
      <c r="E48" s="21">
        <v>0.126</v>
      </c>
      <c r="F48" s="30">
        <v>0.1353</v>
      </c>
      <c r="G48" s="11">
        <f t="shared" si="9"/>
        <v>9.3000000000000027E-3</v>
      </c>
      <c r="H48" s="7">
        <f t="shared" si="10"/>
        <v>46.500000000000007</v>
      </c>
      <c r="I48" s="30">
        <v>0.60009999999999997</v>
      </c>
      <c r="J48" s="55">
        <v>0.59689999999999999</v>
      </c>
      <c r="K48" s="35">
        <f t="shared" ref="K48:K73" si="14">I48-J48</f>
        <v>3.1999999999999806E-3</v>
      </c>
      <c r="L48" s="35">
        <f t="shared" ref="L48:L73" si="15">(K48*1000)/(D48/1000)</f>
        <v>15.999999999999902</v>
      </c>
      <c r="M48" s="51">
        <f t="shared" ref="M48:M73" si="16">H48-L48</f>
        <v>30.500000000000107</v>
      </c>
      <c r="P48" s="64">
        <f>AVERAGE(H48:H49)</f>
        <v>45.000000000000036</v>
      </c>
      <c r="Q48" s="63">
        <f>AVERAGE(L48:L49)</f>
        <v>15.249999999999986</v>
      </c>
      <c r="R48" s="63">
        <f>AVERAGE(M48:M49)</f>
        <v>29.75000000000005</v>
      </c>
      <c r="S48" t="s">
        <v>125</v>
      </c>
      <c r="T48">
        <f>T46+1</f>
        <v>22</v>
      </c>
      <c r="U48" t="str">
        <f t="shared" si="5"/>
        <v>WMS-22</v>
      </c>
      <c r="W48" t="s">
        <v>117</v>
      </c>
      <c r="X48" s="66">
        <v>54.249999999999993</v>
      </c>
      <c r="Y48" s="67">
        <v>43.500000000000071</v>
      </c>
      <c r="Z48" s="67">
        <v>10.749999999999925</v>
      </c>
      <c r="AB48" s="67"/>
    </row>
    <row r="49" spans="1:28" x14ac:dyDescent="0.2">
      <c r="A49" s="24">
        <v>27</v>
      </c>
      <c r="B49" s="26" t="s">
        <v>46</v>
      </c>
      <c r="C49" s="9">
        <v>43229</v>
      </c>
      <c r="D49" s="2">
        <v>200</v>
      </c>
      <c r="E49" s="24">
        <v>0.12479999999999999</v>
      </c>
      <c r="F49" s="30">
        <v>0.13350000000000001</v>
      </c>
      <c r="G49" s="11">
        <f t="shared" si="9"/>
        <v>8.7000000000000133E-3</v>
      </c>
      <c r="H49" s="7">
        <f t="shared" si="10"/>
        <v>43.500000000000064</v>
      </c>
      <c r="I49" s="30">
        <v>0.6331</v>
      </c>
      <c r="J49" s="55">
        <v>0.63019999999999998</v>
      </c>
      <c r="K49" s="35">
        <f t="shared" si="14"/>
        <v>2.9000000000000137E-3</v>
      </c>
      <c r="L49" s="35">
        <f t="shared" si="15"/>
        <v>14.500000000000068</v>
      </c>
      <c r="M49" s="51">
        <f t="shared" si="16"/>
        <v>28.999999999999996</v>
      </c>
      <c r="U49" t="str">
        <f t="shared" si="5"/>
        <v/>
      </c>
      <c r="W49" t="s">
        <v>118</v>
      </c>
      <c r="X49" s="66">
        <v>54.750000000000007</v>
      </c>
      <c r="Y49" s="67">
        <v>43.000000000000185</v>
      </c>
      <c r="Z49" s="67">
        <v>11.749999999999815</v>
      </c>
      <c r="AB49" s="67"/>
    </row>
    <row r="50" spans="1:28" x14ac:dyDescent="0.2">
      <c r="A50" s="24">
        <v>28</v>
      </c>
      <c r="B50" s="26" t="s">
        <v>36</v>
      </c>
      <c r="C50" s="46">
        <v>43229</v>
      </c>
      <c r="D50" s="2">
        <v>200</v>
      </c>
      <c r="E50" s="24">
        <v>0.12479999999999999</v>
      </c>
      <c r="F50" s="30">
        <v>0.1245</v>
      </c>
      <c r="G50" s="11">
        <f t="shared" si="9"/>
        <v>-2.9999999999999472E-4</v>
      </c>
      <c r="H50" s="7">
        <f t="shared" si="10"/>
        <v>-1.4999999999999736</v>
      </c>
      <c r="I50" s="30">
        <v>0.63549999999999995</v>
      </c>
      <c r="J50" s="55">
        <v>0.63390000000000002</v>
      </c>
      <c r="K50" s="35">
        <f t="shared" si="14"/>
        <v>1.5999999999999348E-3</v>
      </c>
      <c r="L50" s="35">
        <f t="shared" si="15"/>
        <v>7.999999999999674</v>
      </c>
      <c r="M50" s="51">
        <f t="shared" si="16"/>
        <v>-9.4999999999996483</v>
      </c>
      <c r="U50" t="str">
        <f t="shared" si="5"/>
        <v/>
      </c>
      <c r="W50" t="s">
        <v>119</v>
      </c>
      <c r="X50" s="66">
        <v>72.750000000000028</v>
      </c>
      <c r="Y50" s="67">
        <v>58.750000000000462</v>
      </c>
      <c r="Z50" s="67">
        <v>13.999999999999568</v>
      </c>
      <c r="AB50" s="67"/>
    </row>
    <row r="51" spans="1:28" x14ac:dyDescent="0.2">
      <c r="A51" s="24">
        <v>29</v>
      </c>
      <c r="B51" s="26" t="s">
        <v>47</v>
      </c>
      <c r="C51" s="9">
        <v>43230</v>
      </c>
      <c r="D51" s="2">
        <v>200</v>
      </c>
      <c r="E51" s="24">
        <v>0.12690000000000001</v>
      </c>
      <c r="F51" s="30">
        <v>0.1351</v>
      </c>
      <c r="G51" s="11">
        <f t="shared" si="9"/>
        <v>8.1999999999999851E-3</v>
      </c>
      <c r="H51" s="7">
        <f t="shared" si="10"/>
        <v>40.999999999999922</v>
      </c>
      <c r="I51" s="30">
        <v>0.68799999999999994</v>
      </c>
      <c r="J51" s="55">
        <v>0.68679999999999997</v>
      </c>
      <c r="K51" s="35">
        <f t="shared" si="14"/>
        <v>1.1999999999999789E-3</v>
      </c>
      <c r="L51" s="35">
        <f t="shared" si="15"/>
        <v>5.9999999999998943</v>
      </c>
      <c r="M51" s="51">
        <f t="shared" si="16"/>
        <v>35.000000000000028</v>
      </c>
      <c r="P51" s="64">
        <f>AVERAGE(H51)</f>
        <v>40.999999999999922</v>
      </c>
      <c r="Q51" s="63">
        <f>L51</f>
        <v>5.9999999999998943</v>
      </c>
      <c r="R51" s="63">
        <f>M51</f>
        <v>35.000000000000028</v>
      </c>
      <c r="S51" t="s">
        <v>125</v>
      </c>
      <c r="T51">
        <f>T48+1</f>
        <v>23</v>
      </c>
      <c r="U51" t="str">
        <f t="shared" si="5"/>
        <v>WMS-23</v>
      </c>
      <c r="W51" t="s">
        <v>135</v>
      </c>
      <c r="X51" s="67"/>
      <c r="Y51" s="67"/>
      <c r="Z51" s="67"/>
    </row>
    <row r="52" spans="1:28" x14ac:dyDescent="0.2">
      <c r="A52" s="24">
        <v>30</v>
      </c>
      <c r="B52" s="26" t="s">
        <v>48</v>
      </c>
      <c r="C52" s="9">
        <v>43230</v>
      </c>
      <c r="D52" s="2">
        <v>200</v>
      </c>
      <c r="E52" s="24">
        <v>0.12509999999999999</v>
      </c>
      <c r="F52" s="30">
        <v>0.13519999999999999</v>
      </c>
      <c r="G52" s="11">
        <f t="shared" si="9"/>
        <v>1.0099999999999998E-2</v>
      </c>
      <c r="H52" s="7">
        <f t="shared" si="10"/>
        <v>50.499999999999986</v>
      </c>
      <c r="I52" s="30">
        <v>0.79310000000000003</v>
      </c>
      <c r="J52" s="55">
        <v>0.57050000000000001</v>
      </c>
      <c r="K52" s="35">
        <f>I52-J52</f>
        <v>0.22260000000000002</v>
      </c>
      <c r="L52" s="35">
        <f>(K52*1000)/(D52/1000)</f>
        <v>1113</v>
      </c>
      <c r="M52" s="51">
        <f t="shared" si="16"/>
        <v>-1062.5</v>
      </c>
      <c r="N52" s="61" t="s">
        <v>93</v>
      </c>
      <c r="P52" s="57"/>
      <c r="U52" t="str">
        <f t="shared" si="5"/>
        <v/>
      </c>
      <c r="W52" t="s">
        <v>227</v>
      </c>
      <c r="X52">
        <v>70.749999999999972</v>
      </c>
      <c r="Y52">
        <v>49.499999999999538</v>
      </c>
      <c r="Z52">
        <v>21.250000000000433</v>
      </c>
    </row>
    <row r="53" spans="1:28" x14ac:dyDescent="0.2">
      <c r="A53" s="24">
        <v>31</v>
      </c>
      <c r="B53" s="29" t="s">
        <v>49</v>
      </c>
      <c r="C53" s="9">
        <v>43230</v>
      </c>
      <c r="D53" s="2">
        <v>200</v>
      </c>
      <c r="E53" s="30">
        <v>0.12620000000000001</v>
      </c>
      <c r="F53" s="30">
        <v>0.13550000000000001</v>
      </c>
      <c r="G53" s="11">
        <f t="shared" si="9"/>
        <v>9.3000000000000027E-3</v>
      </c>
      <c r="H53" s="7">
        <f t="shared" si="10"/>
        <v>46.500000000000007</v>
      </c>
      <c r="I53" s="30">
        <v>0.58460000000000001</v>
      </c>
      <c r="J53" s="55">
        <v>0.58140000000000003</v>
      </c>
      <c r="K53" s="35">
        <f t="shared" si="14"/>
        <v>3.1999999999999806E-3</v>
      </c>
      <c r="L53" s="35">
        <f t="shared" si="15"/>
        <v>15.999999999999902</v>
      </c>
      <c r="M53" s="51">
        <f t="shared" si="16"/>
        <v>30.500000000000107</v>
      </c>
      <c r="P53" s="64">
        <f>AVERAGE(H53:H54)</f>
        <v>43.499999999999993</v>
      </c>
      <c r="Q53" s="63">
        <f>AVERAGE(L53:L54)</f>
        <v>14.250000000000096</v>
      </c>
      <c r="R53" s="63">
        <f>AVERAGE(M53:M54)</f>
        <v>29.249999999999901</v>
      </c>
      <c r="S53" t="s">
        <v>125</v>
      </c>
      <c r="T53">
        <f>T51+1</f>
        <v>24</v>
      </c>
      <c r="U53" t="str">
        <f t="shared" si="5"/>
        <v>WMS-24</v>
      </c>
      <c r="W53" t="s">
        <v>228</v>
      </c>
      <c r="X53">
        <v>62.250000000000014</v>
      </c>
      <c r="Y53">
        <v>44.500000000000298</v>
      </c>
      <c r="Z53">
        <v>17.749999999999709</v>
      </c>
    </row>
    <row r="54" spans="1:28" x14ac:dyDescent="0.2">
      <c r="A54" s="24">
        <v>32</v>
      </c>
      <c r="B54" s="29" t="s">
        <v>50</v>
      </c>
      <c r="C54" s="9">
        <v>43230</v>
      </c>
      <c r="D54" s="2">
        <v>200</v>
      </c>
      <c r="E54" s="30">
        <v>0.126</v>
      </c>
      <c r="F54" s="30">
        <v>0.1341</v>
      </c>
      <c r="G54" s="11">
        <f t="shared" si="9"/>
        <v>8.0999999999999961E-3</v>
      </c>
      <c r="H54" s="7">
        <f t="shared" si="10"/>
        <v>40.499999999999979</v>
      </c>
      <c r="I54" s="30">
        <v>0.64090000000000003</v>
      </c>
      <c r="J54" s="55">
        <v>0.63839999999999997</v>
      </c>
      <c r="K54" s="35">
        <f t="shared" si="14"/>
        <v>2.5000000000000577E-3</v>
      </c>
      <c r="L54" s="35">
        <f t="shared" si="15"/>
        <v>12.500000000000288</v>
      </c>
      <c r="M54" s="51">
        <f t="shared" si="16"/>
        <v>27.999999999999691</v>
      </c>
      <c r="P54" s="57"/>
      <c r="U54" t="str">
        <f t="shared" si="5"/>
        <v/>
      </c>
      <c r="W54" t="s">
        <v>229</v>
      </c>
      <c r="X54">
        <v>58.249999999999972</v>
      </c>
      <c r="Y54">
        <v>40.499999999999702</v>
      </c>
      <c r="Z54">
        <v>17.750000000000263</v>
      </c>
    </row>
    <row r="55" spans="1:28" x14ac:dyDescent="0.2">
      <c r="A55" s="24">
        <v>33</v>
      </c>
      <c r="B55" s="29" t="s">
        <v>51</v>
      </c>
      <c r="C55" s="9">
        <v>43230</v>
      </c>
      <c r="D55" s="2">
        <v>200</v>
      </c>
      <c r="E55" s="30">
        <v>0.12509999999999999</v>
      </c>
      <c r="F55" s="30">
        <v>0.13320000000000001</v>
      </c>
      <c r="G55" s="11">
        <f t="shared" si="9"/>
        <v>8.1000000000000238E-3</v>
      </c>
      <c r="H55" s="7">
        <f t="shared" si="10"/>
        <v>40.500000000000121</v>
      </c>
      <c r="I55" s="30">
        <v>0.64839999999999998</v>
      </c>
      <c r="J55" s="55">
        <v>0.64639999999999997</v>
      </c>
      <c r="K55" s="35">
        <f t="shared" si="14"/>
        <v>2.0000000000000018E-3</v>
      </c>
      <c r="L55" s="35">
        <f t="shared" si="15"/>
        <v>10.000000000000009</v>
      </c>
      <c r="M55" s="51">
        <f t="shared" si="16"/>
        <v>30.500000000000114</v>
      </c>
      <c r="P55" s="64">
        <f>AVERAGE(H55:H56)</f>
        <v>40.50000000000005</v>
      </c>
      <c r="Q55" s="63">
        <f>AVERAGE(L55:L56)</f>
        <v>13.499999999999901</v>
      </c>
      <c r="R55" s="63">
        <f>AVERAGE(M55:M56)</f>
        <v>27.000000000000149</v>
      </c>
      <c r="S55" t="s">
        <v>125</v>
      </c>
      <c r="T55">
        <f>T53+1</f>
        <v>25</v>
      </c>
      <c r="U55" t="str">
        <f t="shared" si="5"/>
        <v>WMS-25</v>
      </c>
      <c r="W55" t="s">
        <v>230</v>
      </c>
      <c r="X55">
        <v>47.25</v>
      </c>
      <c r="Y55">
        <v>31.75000000000032</v>
      </c>
      <c r="Z55">
        <v>15.49999999999968</v>
      </c>
    </row>
    <row r="56" spans="1:28" x14ac:dyDescent="0.2">
      <c r="A56" s="24">
        <v>34</v>
      </c>
      <c r="B56" s="29" t="s">
        <v>52</v>
      </c>
      <c r="C56" s="9">
        <v>43230</v>
      </c>
      <c r="D56" s="2">
        <v>200</v>
      </c>
      <c r="E56" s="30">
        <v>0.12590000000000001</v>
      </c>
      <c r="F56" s="30">
        <v>0.13400000000000001</v>
      </c>
      <c r="G56" s="11">
        <f t="shared" si="9"/>
        <v>8.0999999999999961E-3</v>
      </c>
      <c r="H56" s="7">
        <f t="shared" si="10"/>
        <v>40.499999999999979</v>
      </c>
      <c r="I56" s="30">
        <v>0.75219999999999998</v>
      </c>
      <c r="J56" s="55">
        <v>0.74880000000000002</v>
      </c>
      <c r="K56" s="35">
        <f t="shared" si="14"/>
        <v>3.3999999999999586E-3</v>
      </c>
      <c r="L56" s="35">
        <f t="shared" si="15"/>
        <v>16.99999999999979</v>
      </c>
      <c r="M56" s="51">
        <f t="shared" si="16"/>
        <v>23.500000000000188</v>
      </c>
      <c r="P56" s="57"/>
      <c r="U56" t="str">
        <f t="shared" si="5"/>
        <v/>
      </c>
      <c r="W56" t="s">
        <v>231</v>
      </c>
      <c r="X56">
        <v>43.499999999999929</v>
      </c>
      <c r="Y56">
        <v>25.749999999999936</v>
      </c>
      <c r="Z56">
        <v>17.749999999999986</v>
      </c>
    </row>
    <row r="57" spans="1:28" x14ac:dyDescent="0.2">
      <c r="A57" s="24">
        <v>35</v>
      </c>
      <c r="B57" s="29" t="s">
        <v>53</v>
      </c>
      <c r="C57" s="9">
        <v>43230</v>
      </c>
      <c r="D57" s="2">
        <v>200</v>
      </c>
      <c r="E57" s="30">
        <v>0.12540000000000001</v>
      </c>
      <c r="F57" s="30">
        <v>0.1361</v>
      </c>
      <c r="G57" s="11">
        <f t="shared" si="9"/>
        <v>1.0699999999999987E-2</v>
      </c>
      <c r="H57" s="7">
        <f t="shared" si="10"/>
        <v>53.499999999999929</v>
      </c>
      <c r="I57" s="30">
        <v>0.65900000000000003</v>
      </c>
      <c r="J57" s="55">
        <v>0.65510000000000002</v>
      </c>
      <c r="K57" s="35">
        <f t="shared" si="14"/>
        <v>3.9000000000000146E-3</v>
      </c>
      <c r="L57" s="35">
        <f t="shared" si="15"/>
        <v>19.500000000000071</v>
      </c>
      <c r="M57" s="51">
        <f t="shared" si="16"/>
        <v>33.999999999999858</v>
      </c>
      <c r="P57" s="64">
        <f>AVERAGE(H57:H58)</f>
        <v>45.999999999999929</v>
      </c>
      <c r="Q57" s="63">
        <f>AVERAGE(L57:L58)</f>
        <v>17.000000000000071</v>
      </c>
      <c r="R57" s="63">
        <f>AVERAGE(M57:M58)</f>
        <v>28.999999999999858</v>
      </c>
      <c r="S57" t="s">
        <v>125</v>
      </c>
      <c r="T57">
        <f>T55+1</f>
        <v>26</v>
      </c>
      <c r="U57" t="str">
        <f t="shared" si="5"/>
        <v>WMS-26</v>
      </c>
      <c r="W57" t="s">
        <v>232</v>
      </c>
      <c r="X57">
        <v>60.500000000000064</v>
      </c>
      <c r="Y57">
        <v>42.999999999999773</v>
      </c>
      <c r="Z57">
        <v>17.500000000000291</v>
      </c>
    </row>
    <row r="58" spans="1:28" x14ac:dyDescent="0.2">
      <c r="A58" s="24">
        <v>36</v>
      </c>
      <c r="B58" s="29" t="s">
        <v>54</v>
      </c>
      <c r="C58" s="9">
        <v>43230</v>
      </c>
      <c r="D58" s="2">
        <v>200</v>
      </c>
      <c r="E58" s="30">
        <v>0.12520000000000001</v>
      </c>
      <c r="F58" s="30">
        <v>0.13289999999999999</v>
      </c>
      <c r="G58" s="11">
        <f t="shared" si="9"/>
        <v>7.6999999999999846E-3</v>
      </c>
      <c r="H58" s="7">
        <f t="shared" si="10"/>
        <v>38.499999999999922</v>
      </c>
      <c r="I58" s="30">
        <v>0.69210000000000005</v>
      </c>
      <c r="J58" s="55">
        <v>0.68920000000000003</v>
      </c>
      <c r="K58" s="35">
        <f t="shared" si="14"/>
        <v>2.9000000000000137E-3</v>
      </c>
      <c r="L58" s="35">
        <f t="shared" si="15"/>
        <v>14.500000000000068</v>
      </c>
      <c r="M58" s="51">
        <f t="shared" si="16"/>
        <v>23.999999999999854</v>
      </c>
      <c r="U58" t="str">
        <f t="shared" si="5"/>
        <v/>
      </c>
      <c r="W58" t="s">
        <v>233</v>
      </c>
      <c r="X58">
        <v>64.25</v>
      </c>
      <c r="Y58">
        <v>44.500000000000227</v>
      </c>
      <c r="Z58">
        <v>19.749999999999766</v>
      </c>
    </row>
    <row r="59" spans="1:28" x14ac:dyDescent="0.2">
      <c r="A59" s="24">
        <v>37</v>
      </c>
      <c r="B59" s="29" t="s">
        <v>36</v>
      </c>
      <c r="C59" s="25">
        <v>43230</v>
      </c>
      <c r="D59" s="2">
        <v>200</v>
      </c>
      <c r="E59" s="30">
        <v>0.125</v>
      </c>
      <c r="F59" s="30">
        <v>0.125</v>
      </c>
      <c r="G59" s="11">
        <f>F59-E59</f>
        <v>0</v>
      </c>
      <c r="H59" s="7">
        <f>(G59*1000)/(D59/1000)</f>
        <v>0</v>
      </c>
      <c r="I59" s="30">
        <v>0.65739999999999998</v>
      </c>
      <c r="J59" s="55">
        <v>0.66520000000000001</v>
      </c>
      <c r="K59" s="35">
        <f t="shared" si="14"/>
        <v>-7.8000000000000291E-3</v>
      </c>
      <c r="L59" s="35">
        <f t="shared" si="15"/>
        <v>-39.000000000000142</v>
      </c>
      <c r="M59" s="51">
        <f t="shared" si="16"/>
        <v>39.000000000000142</v>
      </c>
      <c r="U59" t="str">
        <f t="shared" si="5"/>
        <v/>
      </c>
    </row>
    <row r="60" spans="1:28" x14ac:dyDescent="0.2">
      <c r="A60" s="24">
        <v>38</v>
      </c>
      <c r="B60" s="29" t="s">
        <v>55</v>
      </c>
      <c r="C60" s="32">
        <v>43231</v>
      </c>
      <c r="D60" s="2">
        <v>200</v>
      </c>
      <c r="E60" s="30">
        <v>0.125</v>
      </c>
      <c r="F60" s="30">
        <v>0.13109999999999999</v>
      </c>
      <c r="G60" s="11">
        <f t="shared" si="9"/>
        <v>6.0999999999999943E-3</v>
      </c>
      <c r="H60" s="7">
        <f t="shared" si="10"/>
        <v>30.499999999999972</v>
      </c>
      <c r="I60" s="30">
        <v>0.63690000000000002</v>
      </c>
      <c r="J60" s="55">
        <v>0.6341</v>
      </c>
      <c r="K60" s="35">
        <f t="shared" si="14"/>
        <v>2.8000000000000247E-3</v>
      </c>
      <c r="L60" s="35">
        <f t="shared" si="15"/>
        <v>14.000000000000123</v>
      </c>
      <c r="M60" s="51">
        <f t="shared" si="16"/>
        <v>16.499999999999851</v>
      </c>
      <c r="P60" s="64">
        <f>AVERAGE(H60:H61)</f>
        <v>27.499999999999986</v>
      </c>
      <c r="Q60" s="63">
        <f>AVERAGE(L60:L61)</f>
        <v>13.249999999999929</v>
      </c>
      <c r="R60" s="63">
        <f>AVERAGE(M60:M61)</f>
        <v>14.25000000000006</v>
      </c>
      <c r="S60" t="s">
        <v>125</v>
      </c>
      <c r="T60">
        <f>T57+1</f>
        <v>27</v>
      </c>
      <c r="U60" t="str">
        <f t="shared" si="5"/>
        <v>WMS-27</v>
      </c>
      <c r="W60" t="s">
        <v>234</v>
      </c>
      <c r="X60">
        <v>23.999999999999993</v>
      </c>
      <c r="Y60">
        <v>15.00000000000043</v>
      </c>
      <c r="Z60">
        <v>8.999999999999563</v>
      </c>
    </row>
    <row r="61" spans="1:28" x14ac:dyDescent="0.2">
      <c r="A61" s="24">
        <v>39</v>
      </c>
      <c r="B61" s="29" t="s">
        <v>56</v>
      </c>
      <c r="C61" s="32">
        <v>43231</v>
      </c>
      <c r="D61" s="2">
        <v>200</v>
      </c>
      <c r="E61" s="30">
        <v>0.1246</v>
      </c>
      <c r="F61" s="30">
        <v>0.1295</v>
      </c>
      <c r="G61" s="11">
        <f t="shared" si="9"/>
        <v>4.9000000000000016E-3</v>
      </c>
      <c r="H61" s="7">
        <f t="shared" si="10"/>
        <v>24.500000000000004</v>
      </c>
      <c r="I61" s="30">
        <v>0.56169999999999998</v>
      </c>
      <c r="J61" s="55">
        <v>0.55920000000000003</v>
      </c>
      <c r="K61" s="35">
        <f t="shared" si="14"/>
        <v>2.4999999999999467E-3</v>
      </c>
      <c r="L61" s="35">
        <f t="shared" si="15"/>
        <v>12.499999999999734</v>
      </c>
      <c r="M61" s="51">
        <f t="shared" si="16"/>
        <v>12.00000000000027</v>
      </c>
      <c r="P61" s="57"/>
      <c r="U61" t="str">
        <f t="shared" si="5"/>
        <v/>
      </c>
      <c r="W61" t="s">
        <v>235</v>
      </c>
      <c r="X61">
        <v>20.000000000000014</v>
      </c>
      <c r="Y61">
        <v>11.750000000000369</v>
      </c>
      <c r="Z61">
        <v>8.2499999999996465</v>
      </c>
    </row>
    <row r="62" spans="1:28" x14ac:dyDescent="0.2">
      <c r="A62" s="24">
        <v>40</v>
      </c>
      <c r="B62" s="29" t="s">
        <v>57</v>
      </c>
      <c r="C62" s="32">
        <v>43231</v>
      </c>
      <c r="D62" s="2">
        <v>200</v>
      </c>
      <c r="E62" s="30">
        <v>0.128</v>
      </c>
      <c r="F62" s="30">
        <v>0.13669999999999999</v>
      </c>
      <c r="G62" s="11">
        <f t="shared" si="9"/>
        <v>8.6999999999999855E-3</v>
      </c>
      <c r="H62" s="7">
        <f t="shared" si="10"/>
        <v>43.499999999999922</v>
      </c>
      <c r="I62" s="30">
        <v>0.64080000000000004</v>
      </c>
      <c r="J62" s="55">
        <v>0.63880000000000003</v>
      </c>
      <c r="K62" s="35">
        <f t="shared" si="14"/>
        <v>2.0000000000000018E-3</v>
      </c>
      <c r="L62" s="35">
        <f t="shared" si="15"/>
        <v>10.000000000000009</v>
      </c>
      <c r="M62" s="51">
        <f t="shared" si="16"/>
        <v>33.499999999999915</v>
      </c>
      <c r="P62" s="64">
        <f>AVERAGE(H62:H63)</f>
        <v>43.250000000000021</v>
      </c>
      <c r="Q62" s="63">
        <f>AVERAGE(L62:L63)</f>
        <v>10.000000000000009</v>
      </c>
      <c r="R62" s="63">
        <f>AVERAGE(M62:M63)</f>
        <v>33.250000000000014</v>
      </c>
      <c r="S62" t="s">
        <v>125</v>
      </c>
      <c r="T62">
        <f>T60+2</f>
        <v>29</v>
      </c>
      <c r="U62" t="str">
        <f t="shared" si="5"/>
        <v>WMS-29</v>
      </c>
      <c r="W62" t="s">
        <v>236</v>
      </c>
      <c r="X62">
        <v>18.750000000000014</v>
      </c>
      <c r="Y62">
        <v>8.7500000000000071</v>
      </c>
      <c r="Z62">
        <v>10.000000000000009</v>
      </c>
    </row>
    <row r="63" spans="1:28" x14ac:dyDescent="0.2">
      <c r="A63" s="24">
        <v>41</v>
      </c>
      <c r="B63" s="29" t="s">
        <v>58</v>
      </c>
      <c r="C63" s="32">
        <v>43231</v>
      </c>
      <c r="D63" s="2">
        <v>200</v>
      </c>
      <c r="E63" s="30">
        <v>0.12509999999999999</v>
      </c>
      <c r="F63" s="30">
        <v>0.13370000000000001</v>
      </c>
      <c r="G63" s="11">
        <f t="shared" si="9"/>
        <v>8.6000000000000243E-3</v>
      </c>
      <c r="H63" s="7">
        <f t="shared" si="10"/>
        <v>43.000000000000121</v>
      </c>
      <c r="I63" s="30">
        <v>0.63670000000000004</v>
      </c>
      <c r="J63" s="55">
        <v>0.63470000000000004</v>
      </c>
      <c r="K63" s="35">
        <f t="shared" si="14"/>
        <v>2.0000000000000018E-3</v>
      </c>
      <c r="L63" s="35">
        <f t="shared" si="15"/>
        <v>10.000000000000009</v>
      </c>
      <c r="M63" s="51">
        <f t="shared" si="16"/>
        <v>33.000000000000114</v>
      </c>
      <c r="P63" s="57"/>
      <c r="U63" t="str">
        <f t="shared" si="5"/>
        <v/>
      </c>
      <c r="W63" t="s">
        <v>237</v>
      </c>
      <c r="X63">
        <v>20.750000000000071</v>
      </c>
      <c r="Y63">
        <v>11.000000000000313</v>
      </c>
      <c r="Z63">
        <v>9.7499999999997584</v>
      </c>
    </row>
    <row r="64" spans="1:28" x14ac:dyDescent="0.2">
      <c r="A64" s="24">
        <v>42</v>
      </c>
      <c r="B64" s="29" t="s">
        <v>59</v>
      </c>
      <c r="C64" s="32">
        <v>43231</v>
      </c>
      <c r="D64" s="2">
        <v>200</v>
      </c>
      <c r="E64" s="30">
        <v>0.12529999999999999</v>
      </c>
      <c r="F64" s="30">
        <v>0.13450000000000001</v>
      </c>
      <c r="G64" s="11">
        <f t="shared" si="9"/>
        <v>9.2000000000000137E-3</v>
      </c>
      <c r="H64" s="7">
        <f t="shared" si="10"/>
        <v>46.000000000000064</v>
      </c>
      <c r="I64" s="30">
        <v>0.62670000000000003</v>
      </c>
      <c r="J64" s="55">
        <v>0.62450000000000006</v>
      </c>
      <c r="K64" s="35">
        <f t="shared" si="14"/>
        <v>2.1999999999999797E-3</v>
      </c>
      <c r="L64" s="35">
        <f t="shared" si="15"/>
        <v>10.999999999999899</v>
      </c>
      <c r="M64" s="51">
        <f t="shared" si="16"/>
        <v>35.000000000000163</v>
      </c>
      <c r="P64" s="64">
        <f>AVERAGE(H64:H65)</f>
        <v>40.500000000000043</v>
      </c>
      <c r="Q64" s="63">
        <f>AVERAGE(L64:L65)</f>
        <v>8.9999999999998419</v>
      </c>
      <c r="R64" s="63">
        <f>AVERAGE(M64:M65)</f>
        <v>31.500000000000206</v>
      </c>
      <c r="S64" t="s">
        <v>125</v>
      </c>
      <c r="T64">
        <f>T62+1</f>
        <v>30</v>
      </c>
      <c r="U64" t="str">
        <f t="shared" si="5"/>
        <v>WMS-30</v>
      </c>
      <c r="W64" t="s">
        <v>238</v>
      </c>
      <c r="X64">
        <v>27.250000000000014</v>
      </c>
      <c r="Y64">
        <v>17.499999999999979</v>
      </c>
      <c r="Z64">
        <v>9.7500000000000355</v>
      </c>
    </row>
    <row r="65" spans="1:26" x14ac:dyDescent="0.2">
      <c r="A65" s="24">
        <v>43</v>
      </c>
      <c r="B65" s="29" t="s">
        <v>60</v>
      </c>
      <c r="C65" s="32">
        <v>43231</v>
      </c>
      <c r="D65" s="2">
        <v>200</v>
      </c>
      <c r="E65" s="30">
        <v>0.12520000000000001</v>
      </c>
      <c r="F65" s="30">
        <v>0.13220000000000001</v>
      </c>
      <c r="G65" s="11">
        <f t="shared" si="9"/>
        <v>7.0000000000000062E-3</v>
      </c>
      <c r="H65" s="7">
        <f t="shared" si="10"/>
        <v>35.000000000000028</v>
      </c>
      <c r="I65" s="30">
        <v>0.55449999999999999</v>
      </c>
      <c r="J65" s="55">
        <v>0.55310000000000004</v>
      </c>
      <c r="K65" s="35">
        <f t="shared" si="14"/>
        <v>1.3999999999999568E-3</v>
      </c>
      <c r="L65" s="35">
        <f t="shared" si="15"/>
        <v>6.9999999999997842</v>
      </c>
      <c r="M65" s="51">
        <f t="shared" si="16"/>
        <v>28.000000000000245</v>
      </c>
      <c r="P65" s="57"/>
      <c r="U65" t="str">
        <f t="shared" si="5"/>
        <v/>
      </c>
    </row>
    <row r="66" spans="1:26" x14ac:dyDescent="0.2">
      <c r="A66" s="24">
        <v>44</v>
      </c>
      <c r="B66" s="29" t="s">
        <v>36</v>
      </c>
      <c r="C66" s="32">
        <v>43231</v>
      </c>
      <c r="D66" s="2">
        <v>200</v>
      </c>
      <c r="E66" s="30">
        <v>0.125</v>
      </c>
      <c r="F66" s="30">
        <v>0.12479999999999999</v>
      </c>
      <c r="G66" s="11">
        <f t="shared" si="9"/>
        <v>-2.0000000000000573E-4</v>
      </c>
      <c r="H66" s="7">
        <f t="shared" si="10"/>
        <v>-1.0000000000000286</v>
      </c>
      <c r="I66" s="30"/>
      <c r="J66" s="30"/>
      <c r="K66" s="52">
        <f t="shared" si="14"/>
        <v>0</v>
      </c>
      <c r="L66" s="52">
        <f t="shared" si="15"/>
        <v>0</v>
      </c>
      <c r="M66" s="53">
        <f t="shared" si="16"/>
        <v>-1.0000000000000286</v>
      </c>
      <c r="P66" s="64"/>
      <c r="U66" t="str">
        <f t="shared" si="5"/>
        <v/>
      </c>
      <c r="W66" t="s">
        <v>239</v>
      </c>
      <c r="X66">
        <v>29.499999999999943</v>
      </c>
      <c r="Y66">
        <v>17.00000000000021</v>
      </c>
      <c r="Z66">
        <v>12.499999999999734</v>
      </c>
    </row>
    <row r="67" spans="1:26" x14ac:dyDescent="0.2">
      <c r="A67" s="24">
        <v>45</v>
      </c>
      <c r="B67" s="29" t="s">
        <v>61</v>
      </c>
      <c r="C67" s="32">
        <v>43269</v>
      </c>
      <c r="D67" s="2">
        <v>200</v>
      </c>
      <c r="E67" s="30">
        <v>0.126</v>
      </c>
      <c r="F67" s="30">
        <v>0.13730000000000001</v>
      </c>
      <c r="G67" s="11">
        <f t="shared" si="9"/>
        <v>1.1300000000000004E-2</v>
      </c>
      <c r="H67" s="7">
        <f t="shared" si="10"/>
        <v>56.500000000000021</v>
      </c>
      <c r="I67" s="30">
        <v>0.748</v>
      </c>
      <c r="J67" s="55">
        <v>0.74560000000000004</v>
      </c>
      <c r="K67" s="35">
        <f t="shared" si="14"/>
        <v>2.3999999999999577E-3</v>
      </c>
      <c r="L67" s="35">
        <f t="shared" si="15"/>
        <v>11.999999999999789</v>
      </c>
      <c r="M67" s="51">
        <f t="shared" si="16"/>
        <v>44.500000000000234</v>
      </c>
      <c r="P67" s="64">
        <f>AVERAGE(H67:H68)</f>
        <v>53.5</v>
      </c>
      <c r="Q67" s="63">
        <f>AVERAGE(L67:L68)</f>
        <v>10.999999999999899</v>
      </c>
      <c r="R67" s="63">
        <f>AVERAGE(M67:M68)</f>
        <v>42.500000000000107</v>
      </c>
      <c r="S67" t="s">
        <v>125</v>
      </c>
      <c r="T67">
        <f>T64+1</f>
        <v>31</v>
      </c>
      <c r="U67" t="str">
        <f t="shared" si="5"/>
        <v>WMS-31</v>
      </c>
      <c r="W67" t="s">
        <v>240</v>
      </c>
      <c r="X67">
        <v>28.000000000000039</v>
      </c>
      <c r="Y67">
        <v>15.249999999999778</v>
      </c>
      <c r="Z67">
        <v>12.750000000000261</v>
      </c>
    </row>
    <row r="68" spans="1:26" x14ac:dyDescent="0.2">
      <c r="A68" s="24">
        <v>46</v>
      </c>
      <c r="B68" s="29" t="s">
        <v>62</v>
      </c>
      <c r="C68" s="32">
        <v>43269</v>
      </c>
      <c r="D68" s="2">
        <v>200</v>
      </c>
      <c r="E68" s="30">
        <v>0.1263</v>
      </c>
      <c r="F68" s="30">
        <v>0.13639999999999999</v>
      </c>
      <c r="G68" s="11">
        <f t="shared" si="9"/>
        <v>1.0099999999999998E-2</v>
      </c>
      <c r="H68" s="7">
        <f t="shared" si="10"/>
        <v>50.499999999999986</v>
      </c>
      <c r="I68" s="30">
        <v>0.76819999999999999</v>
      </c>
      <c r="J68" s="55">
        <v>0.76619999999999999</v>
      </c>
      <c r="K68" s="35">
        <f t="shared" si="14"/>
        <v>2.0000000000000018E-3</v>
      </c>
      <c r="L68" s="35">
        <f t="shared" si="15"/>
        <v>10.000000000000009</v>
      </c>
      <c r="M68" s="51">
        <f t="shared" si="16"/>
        <v>40.499999999999979</v>
      </c>
      <c r="U68" t="str">
        <f t="shared" ref="U68:U103" si="17">CONCATENATE(S68,T68)</f>
        <v/>
      </c>
      <c r="W68" t="s">
        <v>241</v>
      </c>
      <c r="X68">
        <v>28.499999999999982</v>
      </c>
      <c r="Y68">
        <v>15.75</v>
      </c>
      <c r="Z68">
        <v>12.749999999999982</v>
      </c>
    </row>
    <row r="69" spans="1:26" x14ac:dyDescent="0.2">
      <c r="A69" s="24">
        <v>47</v>
      </c>
      <c r="B69" s="29" t="s">
        <v>63</v>
      </c>
      <c r="C69" s="32">
        <v>43269</v>
      </c>
      <c r="D69" s="2">
        <v>200</v>
      </c>
      <c r="E69" s="30">
        <v>0.12609999999999999</v>
      </c>
      <c r="F69" s="30">
        <v>0.1363</v>
      </c>
      <c r="G69" s="11">
        <f t="shared" si="9"/>
        <v>1.0200000000000015E-2</v>
      </c>
      <c r="H69" s="7">
        <f t="shared" si="10"/>
        <v>51.000000000000071</v>
      </c>
      <c r="I69" s="30">
        <v>0.69989999999999997</v>
      </c>
      <c r="J69" s="55">
        <v>0.66710000000000003</v>
      </c>
      <c r="K69" s="35">
        <f>I69-J69</f>
        <v>3.279999999999994E-2</v>
      </c>
      <c r="L69" s="35">
        <f>(K69*1000)/(D69/1000)</f>
        <v>163.99999999999969</v>
      </c>
      <c r="M69" s="51">
        <f>H69-L69</f>
        <v>-112.99999999999962</v>
      </c>
      <c r="N69" s="61" t="s">
        <v>93</v>
      </c>
      <c r="P69" s="64">
        <f>AVERAGE(H70)</f>
        <v>47.999999999999986</v>
      </c>
      <c r="Q69" s="63">
        <f>L70</f>
        <v>11.999999999999789</v>
      </c>
      <c r="R69" s="63">
        <f>M70</f>
        <v>36.000000000000199</v>
      </c>
      <c r="S69" t="s">
        <v>125</v>
      </c>
      <c r="T69">
        <f>T67+1</f>
        <v>32</v>
      </c>
      <c r="U69" t="str">
        <f t="shared" si="17"/>
        <v>WMS-32</v>
      </c>
      <c r="W69" t="s">
        <v>242</v>
      </c>
      <c r="X69">
        <v>27.499999999999954</v>
      </c>
      <c r="Y69">
        <v>13.499999999999829</v>
      </c>
      <c r="Z69">
        <v>14.000000000000124</v>
      </c>
    </row>
    <row r="70" spans="1:26" x14ac:dyDescent="0.2">
      <c r="A70" s="24">
        <v>48</v>
      </c>
      <c r="B70" s="29" t="s">
        <v>64</v>
      </c>
      <c r="C70" s="32">
        <v>43269</v>
      </c>
      <c r="D70" s="2">
        <v>200</v>
      </c>
      <c r="E70" s="30">
        <v>0.1263</v>
      </c>
      <c r="F70" s="30">
        <v>0.13589999999999999</v>
      </c>
      <c r="G70" s="11">
        <f t="shared" si="9"/>
        <v>9.5999999999999974E-3</v>
      </c>
      <c r="H70" s="7">
        <f t="shared" si="10"/>
        <v>47.999999999999986</v>
      </c>
      <c r="I70" s="30">
        <v>0.65749999999999997</v>
      </c>
      <c r="J70" s="55">
        <v>0.65510000000000002</v>
      </c>
      <c r="K70" s="35">
        <f t="shared" si="14"/>
        <v>2.3999999999999577E-3</v>
      </c>
      <c r="L70" s="35">
        <f t="shared" si="15"/>
        <v>11.999999999999789</v>
      </c>
      <c r="M70" s="51">
        <f t="shared" si="16"/>
        <v>36.000000000000199</v>
      </c>
      <c r="U70" t="str">
        <f t="shared" si="17"/>
        <v/>
      </c>
      <c r="W70" t="s">
        <v>243</v>
      </c>
      <c r="X70">
        <v>26.500000000000064</v>
      </c>
      <c r="Y70">
        <v>11.999999999999996</v>
      </c>
      <c r="Z70">
        <v>14.500000000000068</v>
      </c>
    </row>
    <row r="71" spans="1:26" x14ac:dyDescent="0.2">
      <c r="A71" s="24">
        <v>49</v>
      </c>
      <c r="B71" s="29" t="s">
        <v>36</v>
      </c>
      <c r="C71" s="32">
        <v>43269</v>
      </c>
      <c r="D71" s="2">
        <v>200</v>
      </c>
      <c r="E71" s="30">
        <v>0.12770000000000001</v>
      </c>
      <c r="F71" s="30">
        <v>0.1278</v>
      </c>
      <c r="G71" s="11">
        <f t="shared" si="9"/>
        <v>9.9999999999988987E-5</v>
      </c>
      <c r="H71" s="7">
        <f t="shared" si="10"/>
        <v>0.49999999999994493</v>
      </c>
      <c r="I71" s="30">
        <v>0.58030000000000004</v>
      </c>
      <c r="J71" s="55">
        <v>0.57940000000000003</v>
      </c>
      <c r="K71" s="35">
        <f t="shared" si="14"/>
        <v>9.000000000000119E-4</v>
      </c>
      <c r="L71" s="35">
        <f t="shared" si="15"/>
        <v>4.5000000000000595</v>
      </c>
      <c r="M71" s="51">
        <f t="shared" si="16"/>
        <v>-4.0000000000001146</v>
      </c>
      <c r="U71" t="str">
        <f t="shared" si="17"/>
        <v/>
      </c>
      <c r="W71" t="s">
        <v>244</v>
      </c>
      <c r="X71">
        <v>32.500000000000028</v>
      </c>
      <c r="Y71">
        <v>19.249999999999268</v>
      </c>
      <c r="Z71">
        <v>13.25000000000076</v>
      </c>
    </row>
    <row r="72" spans="1:26" x14ac:dyDescent="0.2">
      <c r="A72" s="24">
        <v>50</v>
      </c>
      <c r="B72" s="29" t="s">
        <v>65</v>
      </c>
      <c r="C72" s="32">
        <v>43270</v>
      </c>
      <c r="D72" s="2">
        <v>200</v>
      </c>
      <c r="E72" s="30">
        <v>0.12640000000000001</v>
      </c>
      <c r="F72" s="30">
        <v>0.13600000000000001</v>
      </c>
      <c r="G72" s="11">
        <f t="shared" si="9"/>
        <v>9.5999999999999974E-3</v>
      </c>
      <c r="H72" s="7">
        <f t="shared" si="10"/>
        <v>47.999999999999986</v>
      </c>
      <c r="I72" s="30">
        <v>0.61680000000000001</v>
      </c>
      <c r="J72" s="55">
        <v>0.6139</v>
      </c>
      <c r="K72" s="35">
        <f t="shared" si="14"/>
        <v>2.9000000000000137E-3</v>
      </c>
      <c r="L72" s="35">
        <f t="shared" si="15"/>
        <v>14.500000000000068</v>
      </c>
      <c r="M72" s="51">
        <f t="shared" si="16"/>
        <v>33.499999999999915</v>
      </c>
      <c r="P72" s="64">
        <f>AVERAGE(H72:H73)</f>
        <v>49.75</v>
      </c>
      <c r="Q72" s="63">
        <f>AVERAGE(L72:L73)</f>
        <v>15.499999999999957</v>
      </c>
      <c r="R72" s="63">
        <f>AVERAGE(M72:M73)</f>
        <v>34.250000000000043</v>
      </c>
      <c r="S72" t="s">
        <v>125</v>
      </c>
      <c r="T72">
        <f>T69+1</f>
        <v>33</v>
      </c>
      <c r="U72" t="str">
        <f t="shared" si="17"/>
        <v>WMS-33</v>
      </c>
      <c r="W72" t="s">
        <v>245</v>
      </c>
      <c r="X72">
        <v>33.500000000000057</v>
      </c>
      <c r="Y72">
        <v>17.000000000000206</v>
      </c>
      <c r="Z72">
        <v>16.499999999999847</v>
      </c>
    </row>
    <row r="73" spans="1:26" x14ac:dyDescent="0.2">
      <c r="A73" s="24">
        <v>51</v>
      </c>
      <c r="B73" s="29" t="s">
        <v>66</v>
      </c>
      <c r="C73" s="32">
        <v>43270</v>
      </c>
      <c r="D73" s="2">
        <v>200</v>
      </c>
      <c r="E73" s="30">
        <v>0.12820000000000001</v>
      </c>
      <c r="F73" s="30">
        <v>0.13850000000000001</v>
      </c>
      <c r="G73" s="11">
        <f t="shared" si="9"/>
        <v>1.0300000000000004E-2</v>
      </c>
      <c r="H73" s="7">
        <f t="shared" si="10"/>
        <v>51.500000000000021</v>
      </c>
      <c r="I73" s="30">
        <v>0.57350000000000001</v>
      </c>
      <c r="J73" s="55">
        <v>0.57020000000000004</v>
      </c>
      <c r="K73" s="35">
        <f t="shared" si="14"/>
        <v>3.2999999999999696E-3</v>
      </c>
      <c r="L73" s="35">
        <f t="shared" si="15"/>
        <v>16.499999999999847</v>
      </c>
      <c r="M73" s="51">
        <f t="shared" si="16"/>
        <v>35.000000000000171</v>
      </c>
      <c r="P73" s="57"/>
      <c r="U73" t="str">
        <f t="shared" si="17"/>
        <v/>
      </c>
      <c r="W73" t="s">
        <v>246</v>
      </c>
      <c r="X73">
        <v>32.500000000000021</v>
      </c>
      <c r="Y73">
        <v>19.249999999999815</v>
      </c>
      <c r="Z73">
        <v>13.250000000000206</v>
      </c>
    </row>
    <row r="74" spans="1:26" x14ac:dyDescent="0.2">
      <c r="A74" s="24">
        <v>52</v>
      </c>
      <c r="B74" s="29" t="s">
        <v>67</v>
      </c>
      <c r="C74" s="32">
        <v>43270</v>
      </c>
      <c r="D74" s="2">
        <v>200</v>
      </c>
      <c r="E74" s="30">
        <v>0.12659999999999999</v>
      </c>
      <c r="F74" s="30">
        <v>0.13700000000000001</v>
      </c>
      <c r="G74" s="11">
        <f t="shared" si="9"/>
        <v>1.040000000000002E-2</v>
      </c>
      <c r="H74" s="7">
        <f t="shared" si="10"/>
        <v>52.000000000000099</v>
      </c>
      <c r="I74" s="30">
        <v>0.58309999999999995</v>
      </c>
      <c r="J74" s="55">
        <v>0.57930000000000004</v>
      </c>
      <c r="K74" s="35">
        <f t="shared" ref="K74:K133" si="18">I74-J74</f>
        <v>3.7999999999999146E-3</v>
      </c>
      <c r="L74" s="35">
        <f t="shared" ref="L74:L133" si="19">(K74*1000)/(D74/1000)</f>
        <v>18.99999999999957</v>
      </c>
      <c r="M74" s="51">
        <f t="shared" ref="M74:M133" si="20">H74-L74</f>
        <v>33.000000000000526</v>
      </c>
      <c r="P74" s="64">
        <f>AVERAGE(H74:H75)</f>
        <v>51.500000000000014</v>
      </c>
      <c r="Q74" s="63">
        <f>AVERAGE(L74:L75)</f>
        <v>18.249999999999929</v>
      </c>
      <c r="R74" s="63">
        <f>AVERAGE(M74:M75)</f>
        <v>33.250000000000085</v>
      </c>
      <c r="S74" t="s">
        <v>125</v>
      </c>
      <c r="T74">
        <f>T72+1</f>
        <v>34</v>
      </c>
      <c r="U74" t="str">
        <f t="shared" si="17"/>
        <v>WMS-34</v>
      </c>
      <c r="W74" t="s">
        <v>247</v>
      </c>
      <c r="X74">
        <v>32.250000000000057</v>
      </c>
      <c r="Y74">
        <v>19.249999999999822</v>
      </c>
      <c r="Z74">
        <v>13.000000000000234</v>
      </c>
    </row>
    <row r="75" spans="1:26" x14ac:dyDescent="0.2">
      <c r="A75" s="24">
        <v>53</v>
      </c>
      <c r="B75" s="29" t="s">
        <v>68</v>
      </c>
      <c r="C75" s="32">
        <v>43270</v>
      </c>
      <c r="D75" s="2">
        <v>200</v>
      </c>
      <c r="E75" s="30">
        <v>0.12740000000000001</v>
      </c>
      <c r="F75" s="30">
        <v>0.1376</v>
      </c>
      <c r="G75" s="11">
        <f t="shared" si="9"/>
        <v>1.0199999999999987E-2</v>
      </c>
      <c r="H75" s="7">
        <f t="shared" si="10"/>
        <v>50.999999999999929</v>
      </c>
      <c r="I75" s="30">
        <v>0.65400000000000003</v>
      </c>
      <c r="J75" s="55">
        <v>0.65049999999999997</v>
      </c>
      <c r="K75" s="35">
        <f t="shared" si="18"/>
        <v>3.5000000000000586E-3</v>
      </c>
      <c r="L75" s="35">
        <f t="shared" si="19"/>
        <v>17.500000000000291</v>
      </c>
      <c r="M75" s="51">
        <f t="shared" si="20"/>
        <v>33.499999999999638</v>
      </c>
      <c r="P75" s="57"/>
      <c r="U75" t="str">
        <f t="shared" si="17"/>
        <v/>
      </c>
      <c r="W75" t="s">
        <v>248</v>
      </c>
      <c r="X75">
        <v>27.500000000000021</v>
      </c>
      <c r="Y75">
        <v>12.750000000000536</v>
      </c>
      <c r="Z75">
        <v>14.749999999999485</v>
      </c>
    </row>
    <row r="76" spans="1:26" x14ac:dyDescent="0.2">
      <c r="A76" s="24">
        <v>54</v>
      </c>
      <c r="B76" s="29" t="s">
        <v>69</v>
      </c>
      <c r="C76" s="32">
        <v>43270</v>
      </c>
      <c r="D76" s="2">
        <v>200</v>
      </c>
      <c r="E76" s="30">
        <v>0.12659999999999999</v>
      </c>
      <c r="F76" s="30">
        <v>0.13769999999999999</v>
      </c>
      <c r="G76" s="11">
        <f t="shared" si="9"/>
        <v>1.1099999999999999E-2</v>
      </c>
      <c r="H76" s="7">
        <f t="shared" si="10"/>
        <v>55.499999999999986</v>
      </c>
      <c r="I76" s="30">
        <v>0.63460000000000005</v>
      </c>
      <c r="J76" s="55">
        <v>0.63139999999999996</v>
      </c>
      <c r="K76" s="35">
        <f t="shared" si="18"/>
        <v>3.2000000000000917E-3</v>
      </c>
      <c r="L76" s="35">
        <f t="shared" si="19"/>
        <v>16.000000000000458</v>
      </c>
      <c r="M76" s="51">
        <f t="shared" si="20"/>
        <v>39.499999999999531</v>
      </c>
      <c r="P76" s="64">
        <f>AVERAGE(H76:H77)</f>
        <v>59.249999999999986</v>
      </c>
      <c r="Q76" s="63">
        <f>AVERAGE(L76:L77)</f>
        <v>16.25000000000043</v>
      </c>
      <c r="R76" s="63">
        <f>AVERAGE(M76:M77)</f>
        <v>42.999999999999559</v>
      </c>
      <c r="S76" t="s">
        <v>125</v>
      </c>
      <c r="T76">
        <f>T74+1</f>
        <v>35</v>
      </c>
      <c r="U76" t="str">
        <f t="shared" si="17"/>
        <v>WMS-35</v>
      </c>
      <c r="W76" t="s">
        <v>249</v>
      </c>
      <c r="X76">
        <v>33.000000000000043</v>
      </c>
      <c r="Y76">
        <v>19.000000000000473</v>
      </c>
      <c r="Z76">
        <v>13.999999999999568</v>
      </c>
    </row>
    <row r="77" spans="1:26" x14ac:dyDescent="0.2">
      <c r="A77" s="30">
        <v>55</v>
      </c>
      <c r="B77" s="29" t="s">
        <v>70</v>
      </c>
      <c r="C77" s="32">
        <v>43270</v>
      </c>
      <c r="D77" s="2">
        <v>200</v>
      </c>
      <c r="E77" s="30">
        <v>0.1273</v>
      </c>
      <c r="F77" s="30">
        <v>0.1399</v>
      </c>
      <c r="G77" s="11">
        <f t="shared" si="9"/>
        <v>1.26E-2</v>
      </c>
      <c r="H77" s="7">
        <f t="shared" si="10"/>
        <v>62.999999999999993</v>
      </c>
      <c r="I77" s="30">
        <v>0.60040000000000004</v>
      </c>
      <c r="J77" s="55">
        <v>0.59709999999999996</v>
      </c>
      <c r="K77" s="35">
        <f t="shared" si="18"/>
        <v>3.3000000000000806E-3</v>
      </c>
      <c r="L77" s="35">
        <f t="shared" si="19"/>
        <v>16.500000000000401</v>
      </c>
      <c r="M77" s="51">
        <f t="shared" si="20"/>
        <v>46.499999999999588</v>
      </c>
      <c r="U77" t="str">
        <f t="shared" si="17"/>
        <v/>
      </c>
      <c r="W77" t="s">
        <v>250</v>
      </c>
      <c r="X77">
        <v>35.500000000000043</v>
      </c>
      <c r="Y77">
        <v>20.250000000000057</v>
      </c>
      <c r="Z77">
        <v>15.249999999999986</v>
      </c>
    </row>
    <row r="78" spans="1:26" x14ac:dyDescent="0.2">
      <c r="A78" s="30">
        <v>56</v>
      </c>
      <c r="B78" s="29" t="s">
        <v>36</v>
      </c>
      <c r="C78" s="32">
        <v>43270</v>
      </c>
      <c r="D78" s="2">
        <v>200</v>
      </c>
      <c r="E78" s="30">
        <v>0.12590000000000001</v>
      </c>
      <c r="F78" s="30">
        <v>0.12670000000000001</v>
      </c>
      <c r="G78" s="11">
        <f t="shared" si="9"/>
        <v>7.9999999999999516E-4</v>
      </c>
      <c r="H78" s="7">
        <f t="shared" si="10"/>
        <v>3.9999999999999756</v>
      </c>
      <c r="I78" s="30">
        <v>0.56230000000000002</v>
      </c>
      <c r="J78" s="55">
        <v>0.56140000000000001</v>
      </c>
      <c r="K78" s="35">
        <f t="shared" si="18"/>
        <v>9.000000000000119E-4</v>
      </c>
      <c r="L78" s="35">
        <f t="shared" si="19"/>
        <v>4.5000000000000595</v>
      </c>
      <c r="M78" s="51">
        <f t="shared" si="20"/>
        <v>-0.50000000000008393</v>
      </c>
      <c r="U78" t="str">
        <f t="shared" si="17"/>
        <v/>
      </c>
      <c r="W78" t="s">
        <v>251</v>
      </c>
      <c r="X78">
        <v>30.500000000000039</v>
      </c>
      <c r="Y78">
        <v>17.999999999999751</v>
      </c>
      <c r="Z78">
        <v>12.500000000000288</v>
      </c>
    </row>
    <row r="79" spans="1:26" x14ac:dyDescent="0.2">
      <c r="A79" s="30">
        <v>57</v>
      </c>
      <c r="B79" s="29" t="s">
        <v>71</v>
      </c>
      <c r="C79" s="32">
        <v>43271</v>
      </c>
      <c r="D79" s="2">
        <v>200</v>
      </c>
      <c r="E79" s="30">
        <v>0.12609999999999999</v>
      </c>
      <c r="F79" s="30">
        <v>0.13619999999999999</v>
      </c>
      <c r="G79" s="11">
        <f t="shared" si="9"/>
        <v>1.0099999999999998E-2</v>
      </c>
      <c r="H79" s="7">
        <f t="shared" si="10"/>
        <v>50.499999999999986</v>
      </c>
      <c r="I79" s="30">
        <v>0.59119999999999995</v>
      </c>
      <c r="J79" s="55">
        <v>0.58889999999999998</v>
      </c>
      <c r="K79" s="35">
        <f t="shared" si="18"/>
        <v>2.2999999999999687E-3</v>
      </c>
      <c r="L79" s="35">
        <f t="shared" si="19"/>
        <v>11.499999999999844</v>
      </c>
      <c r="M79" s="51">
        <f t="shared" si="20"/>
        <v>39.000000000000142</v>
      </c>
      <c r="P79" s="64">
        <f>AVERAGE(H79:H80)</f>
        <v>50.749999999999957</v>
      </c>
      <c r="Q79" s="63">
        <f>AVERAGE(L79:L80)</f>
        <v>10.749999999999925</v>
      </c>
      <c r="R79" s="63">
        <f>AVERAGE(M79:M80)</f>
        <v>40.000000000000028</v>
      </c>
      <c r="S79" t="s">
        <v>125</v>
      </c>
      <c r="T79">
        <f>T76+1</f>
        <v>36</v>
      </c>
      <c r="U79" t="str">
        <f t="shared" si="17"/>
        <v>WMS-36</v>
      </c>
    </row>
    <row r="80" spans="1:26" x14ac:dyDescent="0.2">
      <c r="A80" s="30">
        <v>58</v>
      </c>
      <c r="B80" s="29" t="s">
        <v>72</v>
      </c>
      <c r="C80" s="32">
        <v>43271</v>
      </c>
      <c r="D80" s="2">
        <v>200</v>
      </c>
      <c r="E80" s="30">
        <v>0.12570000000000001</v>
      </c>
      <c r="F80" s="30">
        <v>0.13589999999999999</v>
      </c>
      <c r="G80" s="11">
        <f t="shared" si="9"/>
        <v>1.0199999999999987E-2</v>
      </c>
      <c r="H80" s="7">
        <f t="shared" si="10"/>
        <v>50.999999999999929</v>
      </c>
      <c r="I80" s="30">
        <v>0.73089999999999999</v>
      </c>
      <c r="J80" s="55">
        <v>0.72889999999999999</v>
      </c>
      <c r="K80" s="35">
        <f t="shared" si="18"/>
        <v>2.0000000000000018E-3</v>
      </c>
      <c r="L80" s="35">
        <f t="shared" si="19"/>
        <v>10.000000000000009</v>
      </c>
      <c r="M80" s="51">
        <f t="shared" si="20"/>
        <v>40.999999999999922</v>
      </c>
      <c r="P80" s="57"/>
      <c r="U80" t="str">
        <f t="shared" si="17"/>
        <v/>
      </c>
    </row>
    <row r="81" spans="1:21" x14ac:dyDescent="0.2">
      <c r="A81" s="30">
        <v>59</v>
      </c>
      <c r="B81" s="29" t="s">
        <v>73</v>
      </c>
      <c r="C81" s="32">
        <v>43271</v>
      </c>
      <c r="D81" s="2">
        <v>200</v>
      </c>
      <c r="E81" s="30">
        <v>0.12529999999999999</v>
      </c>
      <c r="F81" s="30">
        <v>0.13589999999999999</v>
      </c>
      <c r="G81" s="11">
        <f t="shared" si="9"/>
        <v>1.0599999999999998E-2</v>
      </c>
      <c r="H81" s="7">
        <f t="shared" si="10"/>
        <v>52.999999999999986</v>
      </c>
      <c r="I81" s="30">
        <v>0.79579999999999995</v>
      </c>
      <c r="J81" s="55">
        <v>0.79369999999999996</v>
      </c>
      <c r="K81" s="35">
        <f t="shared" si="18"/>
        <v>2.0999999999999908E-3</v>
      </c>
      <c r="L81" s="35">
        <f t="shared" si="19"/>
        <v>10.499999999999954</v>
      </c>
      <c r="M81" s="51">
        <f t="shared" si="20"/>
        <v>42.500000000000028</v>
      </c>
      <c r="P81" s="64">
        <f>AVERAGE(H81:H82)</f>
        <v>49.75</v>
      </c>
      <c r="Q81" s="63">
        <f>AVERAGE(L81:L82)</f>
        <v>10.249999999999982</v>
      </c>
      <c r="R81" s="63">
        <f>AVERAGE(M81:M82)</f>
        <v>39.500000000000014</v>
      </c>
      <c r="S81" t="s">
        <v>125</v>
      </c>
      <c r="T81">
        <f>T79+1</f>
        <v>37</v>
      </c>
      <c r="U81" t="str">
        <f t="shared" si="17"/>
        <v>WMS-37</v>
      </c>
    </row>
    <row r="82" spans="1:21" x14ac:dyDescent="0.2">
      <c r="A82" s="30">
        <v>60</v>
      </c>
      <c r="B82" s="29" t="s">
        <v>74</v>
      </c>
      <c r="C82" s="32">
        <v>43271</v>
      </c>
      <c r="D82" s="2">
        <v>200</v>
      </c>
      <c r="E82" s="30">
        <v>0.1268</v>
      </c>
      <c r="F82" s="30">
        <v>0.1361</v>
      </c>
      <c r="G82" s="11">
        <f t="shared" si="9"/>
        <v>9.3000000000000027E-3</v>
      </c>
      <c r="H82" s="7">
        <f t="shared" si="10"/>
        <v>46.500000000000007</v>
      </c>
      <c r="I82" s="30">
        <v>0.66679999999999995</v>
      </c>
      <c r="J82" s="55">
        <v>0.66479999999999995</v>
      </c>
      <c r="K82" s="35">
        <f t="shared" si="18"/>
        <v>2.0000000000000018E-3</v>
      </c>
      <c r="L82" s="35">
        <f t="shared" si="19"/>
        <v>10.000000000000009</v>
      </c>
      <c r="M82" s="51">
        <f t="shared" si="20"/>
        <v>36.5</v>
      </c>
      <c r="P82" s="57"/>
      <c r="U82" t="str">
        <f t="shared" si="17"/>
        <v/>
      </c>
    </row>
    <row r="83" spans="1:21" x14ac:dyDescent="0.2">
      <c r="A83" s="30">
        <v>61</v>
      </c>
      <c r="B83" s="29" t="s">
        <v>75</v>
      </c>
      <c r="C83" s="32">
        <v>43271</v>
      </c>
      <c r="D83" s="2">
        <v>200</v>
      </c>
      <c r="E83" s="30">
        <v>0.1245</v>
      </c>
      <c r="F83" s="30">
        <v>0.1361</v>
      </c>
      <c r="G83" s="11">
        <f t="shared" si="9"/>
        <v>1.1599999999999999E-2</v>
      </c>
      <c r="H83" s="7">
        <f t="shared" si="10"/>
        <v>57.999999999999993</v>
      </c>
      <c r="I83" s="30">
        <v>0.69740000000000002</v>
      </c>
      <c r="J83" s="55">
        <v>0.6956</v>
      </c>
      <c r="K83" s="35">
        <f t="shared" si="18"/>
        <v>1.8000000000000238E-3</v>
      </c>
      <c r="L83" s="35">
        <f t="shared" si="19"/>
        <v>9.000000000000119</v>
      </c>
      <c r="M83" s="51">
        <f t="shared" si="20"/>
        <v>48.999999999999872</v>
      </c>
      <c r="P83" s="64">
        <f>AVERAGE(H83:H84)</f>
        <v>54.249999999999986</v>
      </c>
      <c r="Q83" s="63">
        <f>AVERAGE(L83:L84)</f>
        <v>9.000000000000119</v>
      </c>
      <c r="R83" s="63">
        <f>AVERAGE(M83:M84)</f>
        <v>45.249999999999872</v>
      </c>
      <c r="S83" t="s">
        <v>125</v>
      </c>
      <c r="T83">
        <f>T81+1</f>
        <v>38</v>
      </c>
      <c r="U83" t="str">
        <f t="shared" si="17"/>
        <v>WMS-38</v>
      </c>
    </row>
    <row r="84" spans="1:21" x14ac:dyDescent="0.2">
      <c r="A84" s="30">
        <v>62</v>
      </c>
      <c r="B84" s="29" t="s">
        <v>76</v>
      </c>
      <c r="C84" s="32">
        <v>43271</v>
      </c>
      <c r="D84" s="2">
        <v>200</v>
      </c>
      <c r="E84" s="30">
        <v>0.1268</v>
      </c>
      <c r="F84" s="30">
        <v>0.13689999999999999</v>
      </c>
      <c r="G84" s="11">
        <f t="shared" si="9"/>
        <v>1.0099999999999998E-2</v>
      </c>
      <c r="H84" s="7">
        <f t="shared" si="10"/>
        <v>50.499999999999986</v>
      </c>
      <c r="I84" s="30">
        <v>0.65820000000000001</v>
      </c>
      <c r="J84" s="55">
        <v>0.65639999999999998</v>
      </c>
      <c r="K84" s="35">
        <f t="shared" si="18"/>
        <v>1.8000000000000238E-3</v>
      </c>
      <c r="L84" s="35">
        <f t="shared" si="19"/>
        <v>9.000000000000119</v>
      </c>
      <c r="M84" s="51">
        <f t="shared" si="20"/>
        <v>41.499999999999865</v>
      </c>
      <c r="P84" s="57"/>
      <c r="U84" t="str">
        <f t="shared" si="17"/>
        <v/>
      </c>
    </row>
    <row r="85" spans="1:21" x14ac:dyDescent="0.2">
      <c r="A85" s="30">
        <v>63</v>
      </c>
      <c r="B85" s="29" t="s">
        <v>77</v>
      </c>
      <c r="C85" s="32">
        <v>43271</v>
      </c>
      <c r="D85" s="2">
        <v>200</v>
      </c>
      <c r="E85" s="30">
        <v>0.12520000000000001</v>
      </c>
      <c r="F85" s="30">
        <v>0.13469999999999999</v>
      </c>
      <c r="G85" s="11">
        <f t="shared" si="9"/>
        <v>9.4999999999999807E-3</v>
      </c>
      <c r="H85" s="7">
        <f t="shared" si="10"/>
        <v>47.499999999999901</v>
      </c>
      <c r="I85" s="30">
        <v>0.7258</v>
      </c>
      <c r="J85" s="55">
        <v>0.72399999999999998</v>
      </c>
      <c r="K85" s="35">
        <f t="shared" si="18"/>
        <v>1.8000000000000238E-3</v>
      </c>
      <c r="L85" s="35">
        <f t="shared" si="19"/>
        <v>9.000000000000119</v>
      </c>
      <c r="M85" s="51">
        <f t="shared" si="20"/>
        <v>38.49999999999978</v>
      </c>
      <c r="P85" s="64">
        <f>AVERAGE(H85:H86)</f>
        <v>47.999999999999915</v>
      </c>
      <c r="Q85" s="63">
        <f>AVERAGE(L85:L86)</f>
        <v>9.5000000000000639</v>
      </c>
      <c r="R85" s="63">
        <f>AVERAGE(M85:M86)</f>
        <v>38.499999999999851</v>
      </c>
      <c r="S85" t="s">
        <v>125</v>
      </c>
      <c r="T85">
        <f>T83+1</f>
        <v>39</v>
      </c>
      <c r="U85" t="str">
        <f t="shared" si="17"/>
        <v>WMS-39</v>
      </c>
    </row>
    <row r="86" spans="1:21" x14ac:dyDescent="0.2">
      <c r="A86" s="30">
        <v>64</v>
      </c>
      <c r="B86" s="29" t="s">
        <v>78</v>
      </c>
      <c r="C86" s="32">
        <v>43271</v>
      </c>
      <c r="D86" s="2">
        <v>200</v>
      </c>
      <c r="E86" s="30">
        <v>0.12720000000000001</v>
      </c>
      <c r="F86" s="30">
        <v>0.13689999999999999</v>
      </c>
      <c r="G86" s="11">
        <f t="shared" si="9"/>
        <v>9.6999999999999864E-3</v>
      </c>
      <c r="H86" s="7">
        <f t="shared" si="10"/>
        <v>48.499999999999929</v>
      </c>
      <c r="I86" s="30">
        <v>0.7026</v>
      </c>
      <c r="J86" s="55">
        <v>0.7006</v>
      </c>
      <c r="K86" s="35">
        <f t="shared" si="18"/>
        <v>2.0000000000000018E-3</v>
      </c>
      <c r="L86" s="35">
        <f t="shared" si="19"/>
        <v>10.000000000000009</v>
      </c>
      <c r="M86" s="51">
        <f t="shared" si="20"/>
        <v>38.499999999999922</v>
      </c>
      <c r="U86" t="str">
        <f t="shared" si="17"/>
        <v/>
      </c>
    </row>
    <row r="87" spans="1:21" x14ac:dyDescent="0.2">
      <c r="A87" s="30">
        <v>65</v>
      </c>
      <c r="B87" s="29" t="s">
        <v>36</v>
      </c>
      <c r="C87" s="32">
        <v>43271</v>
      </c>
      <c r="D87" s="2">
        <v>200</v>
      </c>
      <c r="E87" s="30">
        <v>0.12690000000000001</v>
      </c>
      <c r="F87" s="30">
        <v>0.127</v>
      </c>
      <c r="G87" s="11">
        <f t="shared" si="9"/>
        <v>9.9999999999988987E-5</v>
      </c>
      <c r="H87" s="7">
        <f t="shared" si="10"/>
        <v>0.49999999999994493</v>
      </c>
      <c r="I87" s="30">
        <v>0.60089999999999999</v>
      </c>
      <c r="J87" s="55">
        <v>0.60070000000000001</v>
      </c>
      <c r="K87" s="35">
        <f t="shared" si="18"/>
        <v>1.9999999999997797E-4</v>
      </c>
      <c r="L87" s="35">
        <f t="shared" si="19"/>
        <v>0.99999999999988987</v>
      </c>
      <c r="M87" s="51">
        <f t="shared" si="20"/>
        <v>-0.49999999999994493</v>
      </c>
      <c r="U87" t="str">
        <f t="shared" si="17"/>
        <v/>
      </c>
    </row>
    <row r="88" spans="1:21" x14ac:dyDescent="0.2">
      <c r="A88" s="30">
        <v>66</v>
      </c>
      <c r="B88" s="29" t="s">
        <v>79</v>
      </c>
      <c r="C88" s="32">
        <v>43297</v>
      </c>
      <c r="D88" s="2">
        <v>200</v>
      </c>
      <c r="E88" s="30">
        <v>0.12379999999999999</v>
      </c>
      <c r="F88" s="30">
        <v>0.13619999999999999</v>
      </c>
      <c r="G88" s="11">
        <f t="shared" si="9"/>
        <v>1.2399999999999994E-2</v>
      </c>
      <c r="H88" s="7">
        <f t="shared" si="10"/>
        <v>61.999999999999972</v>
      </c>
      <c r="I88" s="30">
        <v>1.1358999999999999</v>
      </c>
      <c r="J88" s="55">
        <v>1.1339999999999999</v>
      </c>
      <c r="K88" s="35">
        <f t="shared" si="18"/>
        <v>1.9000000000000128E-3</v>
      </c>
      <c r="L88" s="35">
        <f t="shared" si="19"/>
        <v>9.5000000000000639</v>
      </c>
      <c r="M88" s="51">
        <f t="shared" si="20"/>
        <v>52.499999999999908</v>
      </c>
      <c r="N88" s="62" t="s">
        <v>113</v>
      </c>
      <c r="O88" s="23">
        <f>AVERAGE(H88:H89)</f>
        <v>62.749999999999957</v>
      </c>
      <c r="P88" s="64">
        <f>AVERAGE(H88:H89)</f>
        <v>62.749999999999957</v>
      </c>
      <c r="Q88" s="63">
        <f>AVERAGE(L88:L89)</f>
        <v>9.7500000000000355</v>
      </c>
      <c r="R88" s="63">
        <f>AVERAGE(M88:M89)</f>
        <v>52.999999999999922</v>
      </c>
      <c r="S88" s="62" t="s">
        <v>125</v>
      </c>
      <c r="T88">
        <f>T85+1</f>
        <v>40</v>
      </c>
      <c r="U88" t="str">
        <f t="shared" si="17"/>
        <v>WMS-40</v>
      </c>
    </row>
    <row r="89" spans="1:21" x14ac:dyDescent="0.2">
      <c r="A89" s="30">
        <v>67</v>
      </c>
      <c r="B89" s="29" t="s">
        <v>80</v>
      </c>
      <c r="C89" s="32">
        <v>43297</v>
      </c>
      <c r="D89" s="2">
        <v>200</v>
      </c>
      <c r="E89" s="30">
        <v>0.127</v>
      </c>
      <c r="F89" s="30">
        <v>0.13969999999999999</v>
      </c>
      <c r="G89" s="11">
        <f t="shared" si="9"/>
        <v>1.2699999999999989E-2</v>
      </c>
      <c r="H89" s="7">
        <f t="shared" si="10"/>
        <v>63.499999999999943</v>
      </c>
      <c r="I89" s="30">
        <v>1.1283000000000001</v>
      </c>
      <c r="J89" s="55">
        <v>1.1263000000000001</v>
      </c>
      <c r="K89" s="35">
        <f t="shared" si="18"/>
        <v>2.0000000000000018E-3</v>
      </c>
      <c r="L89" s="35">
        <f t="shared" si="19"/>
        <v>10.000000000000009</v>
      </c>
      <c r="M89" s="51">
        <f t="shared" si="20"/>
        <v>53.499999999999936</v>
      </c>
      <c r="P89" s="57"/>
      <c r="U89" t="str">
        <f t="shared" si="17"/>
        <v/>
      </c>
    </row>
    <row r="90" spans="1:21" x14ac:dyDescent="0.2">
      <c r="A90" s="30">
        <v>68</v>
      </c>
      <c r="B90" s="29" t="s">
        <v>81</v>
      </c>
      <c r="C90" s="32">
        <v>43297</v>
      </c>
      <c r="D90" s="2">
        <v>200</v>
      </c>
      <c r="E90" s="30">
        <v>0.12479999999999999</v>
      </c>
      <c r="F90" s="30">
        <v>0.1368</v>
      </c>
      <c r="G90" s="11">
        <f t="shared" si="9"/>
        <v>1.2000000000000011E-2</v>
      </c>
      <c r="H90" s="7">
        <f t="shared" si="10"/>
        <v>60.00000000000005</v>
      </c>
      <c r="I90" s="30">
        <v>1.0995999999999999</v>
      </c>
      <c r="J90" s="55">
        <v>1.0973999999999999</v>
      </c>
      <c r="K90" s="35">
        <f t="shared" si="18"/>
        <v>2.1999999999999797E-3</v>
      </c>
      <c r="L90" s="35">
        <f t="shared" si="19"/>
        <v>10.999999999999899</v>
      </c>
      <c r="M90" s="51">
        <f t="shared" si="20"/>
        <v>49.000000000000149</v>
      </c>
      <c r="N90" s="62" t="s">
        <v>114</v>
      </c>
      <c r="O90" s="23">
        <f>AVERAGE(H90:H91)</f>
        <v>59.000000000000021</v>
      </c>
      <c r="P90" s="64">
        <f>AVERAGE(H90:H91)</f>
        <v>59.000000000000021</v>
      </c>
      <c r="Q90" s="63">
        <f>AVERAGE(L90:L91)</f>
        <v>10.499999999999954</v>
      </c>
      <c r="R90" s="63">
        <f>AVERAGE(M90:M91)</f>
        <v>48.500000000000071</v>
      </c>
      <c r="S90" t="s">
        <v>125</v>
      </c>
      <c r="T90">
        <f>T88+1</f>
        <v>41</v>
      </c>
      <c r="U90" t="str">
        <f t="shared" si="17"/>
        <v>WMS-41</v>
      </c>
    </row>
    <row r="91" spans="1:21" x14ac:dyDescent="0.2">
      <c r="A91" s="30">
        <v>69</v>
      </c>
      <c r="B91" s="29" t="s">
        <v>82</v>
      </c>
      <c r="C91" s="32">
        <v>43297</v>
      </c>
      <c r="D91" s="2">
        <v>200</v>
      </c>
      <c r="E91" s="30">
        <v>0.124</v>
      </c>
      <c r="F91" s="30">
        <v>0.1356</v>
      </c>
      <c r="G91" s="11">
        <f t="shared" si="9"/>
        <v>1.1599999999999999E-2</v>
      </c>
      <c r="H91" s="7">
        <f t="shared" si="10"/>
        <v>57.999999999999993</v>
      </c>
      <c r="I91" s="30">
        <v>0.92930000000000001</v>
      </c>
      <c r="J91" s="55">
        <v>0.92730000000000001</v>
      </c>
      <c r="K91" s="35">
        <f t="shared" si="18"/>
        <v>2.0000000000000018E-3</v>
      </c>
      <c r="L91" s="35">
        <f t="shared" si="19"/>
        <v>10.000000000000009</v>
      </c>
      <c r="M91" s="51">
        <f t="shared" si="20"/>
        <v>47.999999999999986</v>
      </c>
      <c r="U91" t="str">
        <f t="shared" si="17"/>
        <v/>
      </c>
    </row>
    <row r="92" spans="1:21" x14ac:dyDescent="0.2">
      <c r="A92" s="30">
        <v>70</v>
      </c>
      <c r="B92" s="29" t="s">
        <v>36</v>
      </c>
      <c r="C92" s="32">
        <v>43297</v>
      </c>
      <c r="D92" s="2">
        <v>200</v>
      </c>
      <c r="E92" s="30">
        <v>0.12479999999999999</v>
      </c>
      <c r="F92" s="30">
        <v>0.12479999999999999</v>
      </c>
      <c r="G92" s="11">
        <f t="shared" si="9"/>
        <v>0</v>
      </c>
      <c r="H92" s="7">
        <f t="shared" si="10"/>
        <v>0</v>
      </c>
      <c r="I92" s="30">
        <v>1.1397999999999999</v>
      </c>
      <c r="J92" s="55">
        <v>1.1395</v>
      </c>
      <c r="K92" s="35">
        <f t="shared" si="18"/>
        <v>2.9999999999996696E-4</v>
      </c>
      <c r="L92" s="35">
        <f t="shared" si="19"/>
        <v>1.4999999999998348</v>
      </c>
      <c r="M92" s="51">
        <f t="shared" si="20"/>
        <v>-1.4999999999998348</v>
      </c>
      <c r="U92" t="str">
        <f t="shared" si="17"/>
        <v/>
      </c>
    </row>
    <row r="93" spans="1:21" x14ac:dyDescent="0.2">
      <c r="A93" s="30">
        <v>71</v>
      </c>
      <c r="B93" s="29" t="s">
        <v>83</v>
      </c>
      <c r="C93" s="32">
        <v>43298</v>
      </c>
      <c r="D93" s="2">
        <v>200</v>
      </c>
      <c r="E93" s="30">
        <v>0.12429999999999999</v>
      </c>
      <c r="F93" s="30">
        <v>0.1343</v>
      </c>
      <c r="G93" s="11">
        <f t="shared" si="9"/>
        <v>1.0000000000000009E-2</v>
      </c>
      <c r="H93" s="7">
        <f t="shared" si="10"/>
        <v>50.000000000000043</v>
      </c>
      <c r="I93" s="30">
        <v>0.92930000000000001</v>
      </c>
      <c r="J93" s="55">
        <v>0.92720000000000002</v>
      </c>
      <c r="K93" s="35">
        <f t="shared" si="18"/>
        <v>2.0999999999999908E-3</v>
      </c>
      <c r="L93" s="35">
        <f t="shared" si="19"/>
        <v>10.499999999999954</v>
      </c>
      <c r="M93" s="51">
        <f t="shared" si="20"/>
        <v>39.500000000000085</v>
      </c>
      <c r="N93" s="62" t="s">
        <v>115</v>
      </c>
      <c r="O93" s="23">
        <f>AVERAGE(H93:H94)</f>
        <v>54.250000000000057</v>
      </c>
      <c r="P93" s="64">
        <f>AVERAGE(H93:H94)</f>
        <v>54.250000000000057</v>
      </c>
      <c r="Q93" s="63">
        <f>AVERAGE(L93:L94)</f>
        <v>10.249999999999982</v>
      </c>
      <c r="R93" s="63">
        <f>AVERAGE(M93:M94)</f>
        <v>44.000000000000071</v>
      </c>
      <c r="S93" t="s">
        <v>125</v>
      </c>
      <c r="T93">
        <f>T90+1</f>
        <v>42</v>
      </c>
      <c r="U93" t="str">
        <f t="shared" si="17"/>
        <v>WMS-42</v>
      </c>
    </row>
    <row r="94" spans="1:21" x14ac:dyDescent="0.2">
      <c r="A94" s="30">
        <v>72</v>
      </c>
      <c r="B94" s="29" t="s">
        <v>84</v>
      </c>
      <c r="C94" s="32">
        <v>43298</v>
      </c>
      <c r="D94" s="2">
        <v>200</v>
      </c>
      <c r="E94" s="30">
        <v>0.12509999999999999</v>
      </c>
      <c r="F94" s="30">
        <v>0.1368</v>
      </c>
      <c r="G94" s="11">
        <f t="shared" si="9"/>
        <v>1.1700000000000016E-2</v>
      </c>
      <c r="H94" s="7">
        <f t="shared" si="10"/>
        <v>58.500000000000071</v>
      </c>
      <c r="I94" s="30">
        <v>1.2597</v>
      </c>
      <c r="J94" s="55">
        <v>1.2577</v>
      </c>
      <c r="K94" s="35">
        <f t="shared" si="18"/>
        <v>2.0000000000000018E-3</v>
      </c>
      <c r="L94" s="35">
        <f t="shared" si="19"/>
        <v>10.000000000000009</v>
      </c>
      <c r="M94" s="51">
        <f t="shared" si="20"/>
        <v>48.500000000000064</v>
      </c>
      <c r="U94" t="str">
        <f t="shared" si="17"/>
        <v/>
      </c>
    </row>
    <row r="95" spans="1:21" x14ac:dyDescent="0.2">
      <c r="A95" s="30">
        <v>73</v>
      </c>
      <c r="B95" s="29" t="s">
        <v>36</v>
      </c>
      <c r="C95" s="32">
        <v>43298</v>
      </c>
      <c r="D95" s="2">
        <v>200</v>
      </c>
      <c r="E95" s="30">
        <v>0.1242</v>
      </c>
      <c r="F95" s="30">
        <v>0.1245</v>
      </c>
      <c r="G95" s="11">
        <f t="shared" ref="G95:G133" si="21">F95-E95</f>
        <v>2.9999999999999472E-4</v>
      </c>
      <c r="H95" s="7">
        <f t="shared" ref="H95:H133" si="22">(G95*1000)/(D95/1000)</f>
        <v>1.4999999999999736</v>
      </c>
      <c r="I95" s="30">
        <v>1.0145</v>
      </c>
      <c r="J95" s="55">
        <v>1.0142</v>
      </c>
      <c r="K95" s="35">
        <f t="shared" si="18"/>
        <v>2.9999999999996696E-4</v>
      </c>
      <c r="L95" s="35">
        <f t="shared" si="19"/>
        <v>1.4999999999998348</v>
      </c>
      <c r="M95" s="51">
        <f t="shared" si="20"/>
        <v>1.3877787807814457E-13</v>
      </c>
      <c r="U95" t="str">
        <f t="shared" si="17"/>
        <v/>
      </c>
    </row>
    <row r="96" spans="1:21" x14ac:dyDescent="0.2">
      <c r="A96" s="30">
        <v>74</v>
      </c>
      <c r="B96" s="29" t="s">
        <v>85</v>
      </c>
      <c r="C96" s="32">
        <v>43300</v>
      </c>
      <c r="D96" s="2">
        <v>200</v>
      </c>
      <c r="E96" s="30">
        <v>0.12479999999999999</v>
      </c>
      <c r="F96" s="30">
        <v>0.13569999999999999</v>
      </c>
      <c r="G96" s="17">
        <f t="shared" si="21"/>
        <v>1.0899999999999993E-2</v>
      </c>
      <c r="H96" s="31">
        <f t="shared" si="22"/>
        <v>54.499999999999964</v>
      </c>
      <c r="I96" s="30">
        <v>0.81410000000000005</v>
      </c>
      <c r="J96" s="55">
        <v>0.81179999999999997</v>
      </c>
      <c r="K96" s="35">
        <f t="shared" si="18"/>
        <v>2.3000000000000798E-3</v>
      </c>
      <c r="L96" s="35">
        <f t="shared" si="19"/>
        <v>11.500000000000398</v>
      </c>
      <c r="M96" s="51">
        <f t="shared" si="20"/>
        <v>42.999999999999567</v>
      </c>
      <c r="N96" s="62" t="s">
        <v>116</v>
      </c>
      <c r="O96" s="23">
        <f>AVERAGE(H96:H97)</f>
        <v>58.25</v>
      </c>
      <c r="P96" s="64">
        <f>AVERAGE(H96:H97)</f>
        <v>58.25</v>
      </c>
      <c r="Q96" s="63">
        <f>AVERAGE(L96:L97)</f>
        <v>13.749999999999872</v>
      </c>
      <c r="R96" s="63">
        <f>AVERAGE(M96:M97)</f>
        <v>44.500000000000128</v>
      </c>
      <c r="S96" t="s">
        <v>125</v>
      </c>
      <c r="T96">
        <f>T93+1</f>
        <v>43</v>
      </c>
      <c r="U96" t="str">
        <f t="shared" si="17"/>
        <v>WMS-43</v>
      </c>
    </row>
    <row r="97" spans="1:24" x14ac:dyDescent="0.2">
      <c r="A97" s="30">
        <v>75</v>
      </c>
      <c r="B97" s="29" t="s">
        <v>86</v>
      </c>
      <c r="C97" s="32">
        <v>43300</v>
      </c>
      <c r="D97" s="2">
        <v>200</v>
      </c>
      <c r="E97" s="30">
        <v>0.1246</v>
      </c>
      <c r="F97" s="30">
        <v>0.13700000000000001</v>
      </c>
      <c r="G97" s="17">
        <f t="shared" si="21"/>
        <v>1.2400000000000008E-2</v>
      </c>
      <c r="H97" s="31">
        <f t="shared" si="22"/>
        <v>62.000000000000036</v>
      </c>
      <c r="I97" s="30">
        <v>1.2604</v>
      </c>
      <c r="J97" s="55">
        <v>1.2572000000000001</v>
      </c>
      <c r="K97" s="35">
        <f t="shared" si="18"/>
        <v>3.1999999999998696E-3</v>
      </c>
      <c r="L97" s="35">
        <f t="shared" si="19"/>
        <v>15.999999999999348</v>
      </c>
      <c r="M97" s="51">
        <f t="shared" si="20"/>
        <v>46.000000000000689</v>
      </c>
      <c r="P97" s="57"/>
      <c r="U97" t="str">
        <f t="shared" si="17"/>
        <v/>
      </c>
    </row>
    <row r="98" spans="1:24" x14ac:dyDescent="0.2">
      <c r="A98" s="30">
        <v>76</v>
      </c>
      <c r="B98" s="29" t="s">
        <v>87</v>
      </c>
      <c r="C98" s="32">
        <v>43300</v>
      </c>
      <c r="D98" s="2">
        <v>200</v>
      </c>
      <c r="E98" s="30">
        <v>0.1237</v>
      </c>
      <c r="F98" s="30">
        <v>0.1346</v>
      </c>
      <c r="G98" s="17">
        <f t="shared" si="21"/>
        <v>1.0899999999999993E-2</v>
      </c>
      <c r="H98" s="31">
        <f t="shared" si="22"/>
        <v>54.499999999999964</v>
      </c>
      <c r="I98" s="30">
        <v>1.2356</v>
      </c>
      <c r="J98" s="55">
        <v>1.2335</v>
      </c>
      <c r="K98" s="35">
        <f t="shared" si="18"/>
        <v>2.0999999999999908E-3</v>
      </c>
      <c r="L98" s="35">
        <f t="shared" si="19"/>
        <v>10.499999999999954</v>
      </c>
      <c r="M98" s="51">
        <f t="shared" si="20"/>
        <v>44.000000000000014</v>
      </c>
      <c r="N98" s="62" t="s">
        <v>117</v>
      </c>
      <c r="O98" s="23">
        <f>AVERAGE(H98:H99)</f>
        <v>54.249999999999993</v>
      </c>
      <c r="P98" s="64">
        <f>AVERAGE(H98:H99)</f>
        <v>54.249999999999993</v>
      </c>
      <c r="Q98" s="63">
        <f>AVERAGE(L98:L99)</f>
        <v>10.749999999999925</v>
      </c>
      <c r="R98" s="63">
        <f>AVERAGE(M98:M99)</f>
        <v>43.500000000000071</v>
      </c>
      <c r="S98" t="s">
        <v>125</v>
      </c>
      <c r="T98">
        <f>T96+1</f>
        <v>44</v>
      </c>
      <c r="U98" t="str">
        <f t="shared" si="17"/>
        <v>WMS-44</v>
      </c>
    </row>
    <row r="99" spans="1:24" x14ac:dyDescent="0.2">
      <c r="A99" s="30">
        <v>77</v>
      </c>
      <c r="B99" s="29" t="s">
        <v>88</v>
      </c>
      <c r="C99" s="32">
        <v>43300</v>
      </c>
      <c r="D99" s="2">
        <v>200</v>
      </c>
      <c r="E99" s="30">
        <v>0.12379999999999999</v>
      </c>
      <c r="F99" s="30">
        <v>0.1346</v>
      </c>
      <c r="G99" s="17">
        <f t="shared" si="21"/>
        <v>1.0800000000000004E-2</v>
      </c>
      <c r="H99" s="31">
        <f t="shared" si="22"/>
        <v>54.000000000000021</v>
      </c>
      <c r="I99" s="30">
        <v>1.1706000000000001</v>
      </c>
      <c r="J99" s="55">
        <v>1.1684000000000001</v>
      </c>
      <c r="K99" s="35">
        <f t="shared" si="18"/>
        <v>2.1999999999999797E-3</v>
      </c>
      <c r="L99" s="35">
        <f t="shared" si="19"/>
        <v>10.999999999999899</v>
      </c>
      <c r="M99" s="51">
        <f t="shared" si="20"/>
        <v>43.000000000000121</v>
      </c>
      <c r="U99" t="str">
        <f t="shared" si="17"/>
        <v/>
      </c>
    </row>
    <row r="100" spans="1:24" x14ac:dyDescent="0.2">
      <c r="A100" s="30">
        <v>78</v>
      </c>
      <c r="B100" s="29" t="s">
        <v>89</v>
      </c>
      <c r="C100" s="32">
        <v>43300</v>
      </c>
      <c r="D100" s="2">
        <v>200</v>
      </c>
      <c r="E100" s="30">
        <v>0.1273</v>
      </c>
      <c r="F100" s="30">
        <v>0.13819999999999999</v>
      </c>
      <c r="G100" s="17">
        <f t="shared" si="21"/>
        <v>1.0899999999999993E-2</v>
      </c>
      <c r="H100" s="31">
        <f t="shared" si="22"/>
        <v>54.499999999999964</v>
      </c>
      <c r="I100" s="30">
        <v>1.1707000000000001</v>
      </c>
      <c r="J100" s="55">
        <v>1.1685000000000001</v>
      </c>
      <c r="K100" s="35">
        <f t="shared" si="18"/>
        <v>2.1999999999999797E-3</v>
      </c>
      <c r="L100" s="35">
        <f t="shared" si="19"/>
        <v>10.999999999999899</v>
      </c>
      <c r="M100" s="51">
        <f t="shared" si="20"/>
        <v>43.500000000000064</v>
      </c>
      <c r="N100" s="62" t="s">
        <v>118</v>
      </c>
      <c r="O100" s="23">
        <f>AVERAGE(H100:H101)</f>
        <v>54.750000000000007</v>
      </c>
      <c r="P100" s="64">
        <f>AVERAGE(H100:H101)</f>
        <v>54.750000000000007</v>
      </c>
      <c r="Q100" s="63">
        <f>AVERAGE(L100:L101)</f>
        <v>11.749999999999815</v>
      </c>
      <c r="R100" s="63">
        <f>AVERAGE(M100:M101)</f>
        <v>43.000000000000185</v>
      </c>
      <c r="S100" t="s">
        <v>125</v>
      </c>
      <c r="T100">
        <f>T98+1</f>
        <v>45</v>
      </c>
      <c r="U100" t="str">
        <f t="shared" si="17"/>
        <v>WMS-45</v>
      </c>
    </row>
    <row r="101" spans="1:24" x14ac:dyDescent="0.2">
      <c r="A101" s="30">
        <v>79</v>
      </c>
      <c r="B101" s="29" t="s">
        <v>90</v>
      </c>
      <c r="C101" s="32">
        <v>43300</v>
      </c>
      <c r="D101" s="2">
        <v>200</v>
      </c>
      <c r="E101" s="30">
        <v>0.12429999999999999</v>
      </c>
      <c r="F101" s="30">
        <v>0.1353</v>
      </c>
      <c r="G101" s="17">
        <f t="shared" si="21"/>
        <v>1.100000000000001E-2</v>
      </c>
      <c r="H101" s="31">
        <f t="shared" si="22"/>
        <v>55.00000000000005</v>
      </c>
      <c r="I101" s="30">
        <v>1.1148</v>
      </c>
      <c r="J101" s="55">
        <v>1.1123000000000001</v>
      </c>
      <c r="K101" s="35">
        <f t="shared" si="18"/>
        <v>2.4999999999999467E-3</v>
      </c>
      <c r="L101" s="35">
        <f t="shared" si="19"/>
        <v>12.499999999999734</v>
      </c>
      <c r="M101" s="51">
        <f t="shared" si="20"/>
        <v>42.500000000000313</v>
      </c>
      <c r="U101" t="str">
        <f t="shared" si="17"/>
        <v/>
      </c>
    </row>
    <row r="102" spans="1:24" x14ac:dyDescent="0.2">
      <c r="A102" s="30">
        <v>80</v>
      </c>
      <c r="B102" s="29" t="s">
        <v>36</v>
      </c>
      <c r="C102" s="32">
        <v>43300</v>
      </c>
      <c r="D102" s="2">
        <v>200</v>
      </c>
      <c r="E102" s="30">
        <v>0.12429999999999999</v>
      </c>
      <c r="F102" s="30">
        <v>0.124</v>
      </c>
      <c r="G102" s="17">
        <f t="shared" si="21"/>
        <v>-2.9999999999999472E-4</v>
      </c>
      <c r="H102" s="31">
        <f t="shared" si="22"/>
        <v>-1.4999999999999736</v>
      </c>
      <c r="I102" s="30">
        <v>0.87409999999999999</v>
      </c>
      <c r="J102" s="55">
        <v>0.87360000000000004</v>
      </c>
      <c r="K102" s="35">
        <f t="shared" si="18"/>
        <v>4.9999999999994493E-4</v>
      </c>
      <c r="L102" s="35">
        <f t="shared" si="19"/>
        <v>2.4999999999997247</v>
      </c>
      <c r="M102" s="51">
        <f t="shared" si="20"/>
        <v>-3.999999999999698</v>
      </c>
      <c r="U102" t="str">
        <f t="shared" si="17"/>
        <v/>
      </c>
    </row>
    <row r="103" spans="1:24" x14ac:dyDescent="0.2">
      <c r="A103" s="30">
        <v>81</v>
      </c>
      <c r="B103" s="29" t="s">
        <v>91</v>
      </c>
      <c r="C103" s="32">
        <v>43301</v>
      </c>
      <c r="D103" s="2">
        <v>200</v>
      </c>
      <c r="E103" s="30">
        <v>0.12759999999999999</v>
      </c>
      <c r="F103" s="30">
        <v>0.1419</v>
      </c>
      <c r="G103" s="17">
        <f t="shared" si="21"/>
        <v>1.4300000000000007E-2</v>
      </c>
      <c r="H103" s="31">
        <f t="shared" si="22"/>
        <v>71.500000000000028</v>
      </c>
      <c r="I103" s="30">
        <v>0.84909999999999997</v>
      </c>
      <c r="J103" s="55">
        <v>0.84630000000000005</v>
      </c>
      <c r="K103" s="35">
        <f t="shared" si="18"/>
        <v>2.7999999999999137E-3</v>
      </c>
      <c r="L103" s="35">
        <f t="shared" si="19"/>
        <v>13.999999999999568</v>
      </c>
      <c r="M103" s="51">
        <f t="shared" si="20"/>
        <v>57.500000000000462</v>
      </c>
      <c r="N103" s="62" t="s">
        <v>119</v>
      </c>
      <c r="O103" s="23">
        <f>AVERAGE(H103:H104)</f>
        <v>72.750000000000028</v>
      </c>
      <c r="P103" s="64">
        <f>AVERAGE(H103:H104)</f>
        <v>72.750000000000028</v>
      </c>
      <c r="Q103" s="63">
        <f>AVERAGE(L103:L104)</f>
        <v>13.999999999999568</v>
      </c>
      <c r="R103" s="63">
        <f>AVERAGE(M103:M104)</f>
        <v>58.750000000000462</v>
      </c>
      <c r="S103" s="62" t="s">
        <v>125</v>
      </c>
      <c r="T103">
        <f>T100+1</f>
        <v>46</v>
      </c>
      <c r="U103" t="str">
        <f t="shared" si="17"/>
        <v>WMS-46</v>
      </c>
    </row>
    <row r="104" spans="1:24" x14ac:dyDescent="0.2">
      <c r="A104" s="30">
        <v>82</v>
      </c>
      <c r="B104" s="29" t="s">
        <v>92</v>
      </c>
      <c r="C104" s="32">
        <v>43301</v>
      </c>
      <c r="D104" s="2">
        <v>200</v>
      </c>
      <c r="E104" s="30">
        <v>0.12659999999999999</v>
      </c>
      <c r="F104" s="30">
        <v>0.1414</v>
      </c>
      <c r="G104" s="17">
        <f t="shared" si="21"/>
        <v>1.4800000000000008E-2</v>
      </c>
      <c r="H104" s="31">
        <f t="shared" si="22"/>
        <v>74.000000000000028</v>
      </c>
      <c r="I104" s="30">
        <v>0.85629999999999995</v>
      </c>
      <c r="J104" s="55">
        <v>0.85350000000000004</v>
      </c>
      <c r="K104" s="35">
        <f t="shared" si="18"/>
        <v>2.7999999999999137E-3</v>
      </c>
      <c r="L104" s="35">
        <f t="shared" si="19"/>
        <v>13.999999999999568</v>
      </c>
      <c r="M104" s="51">
        <f t="shared" si="20"/>
        <v>60.000000000000462</v>
      </c>
    </row>
    <row r="105" spans="1:24" x14ac:dyDescent="0.2">
      <c r="A105" s="30">
        <v>83</v>
      </c>
      <c r="B105" s="29" t="s">
        <v>27</v>
      </c>
      <c r="C105" s="32">
        <v>43301</v>
      </c>
      <c r="D105" s="2">
        <v>200</v>
      </c>
      <c r="E105">
        <v>0.12770000000000001</v>
      </c>
      <c r="F105" s="30">
        <v>0.12770000000000001</v>
      </c>
      <c r="G105" s="17">
        <f t="shared" si="21"/>
        <v>0</v>
      </c>
      <c r="H105" s="31">
        <f t="shared" si="22"/>
        <v>0</v>
      </c>
      <c r="I105" s="30">
        <v>1.1499999999999999</v>
      </c>
      <c r="J105" s="69">
        <v>1.1496</v>
      </c>
      <c r="K105" s="35">
        <f t="shared" si="18"/>
        <v>3.9999999999995595E-4</v>
      </c>
      <c r="L105" s="35">
        <f t="shared" si="19"/>
        <v>1.9999999999997797</v>
      </c>
      <c r="M105" s="51">
        <f t="shared" si="20"/>
        <v>-1.9999999999997797</v>
      </c>
    </row>
    <row r="106" spans="1:24" x14ac:dyDescent="0.2">
      <c r="A106" s="30">
        <v>84</v>
      </c>
      <c r="B106" s="70" t="s">
        <v>213</v>
      </c>
      <c r="C106" s="32">
        <v>43451</v>
      </c>
      <c r="D106" s="2">
        <v>200</v>
      </c>
      <c r="E106">
        <v>0.1255</v>
      </c>
      <c r="F106" s="70">
        <v>0.13869999999999999</v>
      </c>
      <c r="G106" s="17">
        <f t="shared" si="21"/>
        <v>1.319999999999999E-2</v>
      </c>
      <c r="H106" s="31">
        <f t="shared" si="22"/>
        <v>65.999999999999943</v>
      </c>
      <c r="I106" s="70">
        <v>1.0325</v>
      </c>
      <c r="J106" s="70">
        <v>1.0286</v>
      </c>
      <c r="K106" s="35">
        <f t="shared" si="18"/>
        <v>3.9000000000000146E-3</v>
      </c>
      <c r="L106" s="35">
        <f t="shared" si="19"/>
        <v>19.500000000000071</v>
      </c>
      <c r="M106" s="51">
        <f t="shared" si="20"/>
        <v>46.499999999999872</v>
      </c>
      <c r="N106" t="str">
        <f>B106</f>
        <v>47A</v>
      </c>
      <c r="P106" s="64">
        <f>AVERAGE(H106:H107)</f>
        <v>70.749999999999972</v>
      </c>
      <c r="Q106" s="63">
        <f>AVERAGE(L106:L107)</f>
        <v>21.250000000000433</v>
      </c>
      <c r="R106" s="63">
        <f>AVERAGE(M106:M107)</f>
        <v>49.499999999999538</v>
      </c>
      <c r="S106" t="str">
        <f>IF(P106&gt;0,"WMS-","")</f>
        <v>WMS-</v>
      </c>
      <c r="T106" t="str">
        <f>LEFT(N106,2)</f>
        <v>47</v>
      </c>
      <c r="U106" t="str">
        <f t="shared" ref="U106:U162" si="23">CONCATENATE(S106,T106)</f>
        <v>WMS-47</v>
      </c>
      <c r="V106">
        <f>IF(P106&gt;0,P106,"")</f>
        <v>70.749999999999972</v>
      </c>
      <c r="W106">
        <f t="shared" ref="W106:X106" si="24">IF(Q106&gt;0,Q106,"")</f>
        <v>21.250000000000433</v>
      </c>
      <c r="X106">
        <f t="shared" si="24"/>
        <v>49.499999999999538</v>
      </c>
    </row>
    <row r="107" spans="1:24" x14ac:dyDescent="0.2">
      <c r="A107" s="30">
        <v>85</v>
      </c>
      <c r="B107" s="70" t="s">
        <v>214</v>
      </c>
      <c r="C107" s="32">
        <v>43451</v>
      </c>
      <c r="D107" s="2">
        <v>200</v>
      </c>
      <c r="E107">
        <v>0.12620000000000001</v>
      </c>
      <c r="F107" s="70">
        <v>0.14130000000000001</v>
      </c>
      <c r="G107" s="17">
        <f t="shared" si="21"/>
        <v>1.5100000000000002E-2</v>
      </c>
      <c r="H107" s="31">
        <f t="shared" si="22"/>
        <v>75.5</v>
      </c>
      <c r="I107" s="70">
        <v>1.0616000000000001</v>
      </c>
      <c r="J107" s="70">
        <v>1.0569999999999999</v>
      </c>
      <c r="K107" s="35">
        <f t="shared" si="18"/>
        <v>4.6000000000001595E-3</v>
      </c>
      <c r="L107" s="35">
        <f t="shared" si="19"/>
        <v>23.000000000000796</v>
      </c>
      <c r="M107" s="51">
        <f t="shared" si="20"/>
        <v>52.499999999999204</v>
      </c>
      <c r="P107" s="57"/>
      <c r="S107" t="str">
        <f t="shared" ref="S107:S164" si="25">IF(P107&gt;0,"WMS-","")</f>
        <v/>
      </c>
      <c r="T107" t="str">
        <f t="shared" ref="T107:T164" si="26">LEFT(N107,2)</f>
        <v/>
      </c>
      <c r="U107" t="str">
        <f t="shared" si="23"/>
        <v/>
      </c>
      <c r="V107" t="str">
        <f t="shared" ref="V107:V162" si="27">IF(P107&gt;0,P107,"")</f>
        <v/>
      </c>
      <c r="W107" t="str">
        <f t="shared" ref="W107:W162" si="28">IF(Q107&gt;0,Q107,"")</f>
        <v/>
      </c>
      <c r="X107" t="str">
        <f t="shared" ref="X107:X162" si="29">IF(R107&gt;0,R107,"")</f>
        <v/>
      </c>
    </row>
    <row r="108" spans="1:24" x14ac:dyDescent="0.2">
      <c r="A108" s="30">
        <v>86</v>
      </c>
      <c r="B108" s="70" t="s">
        <v>215</v>
      </c>
      <c r="C108" s="32">
        <v>43451</v>
      </c>
      <c r="D108" s="2">
        <v>200</v>
      </c>
      <c r="E108">
        <v>0.12709999999999999</v>
      </c>
      <c r="F108" s="70">
        <v>0.13919999999999999</v>
      </c>
      <c r="G108" s="17">
        <f t="shared" si="21"/>
        <v>1.21E-2</v>
      </c>
      <c r="H108" s="31">
        <f t="shared" si="22"/>
        <v>60.499999999999993</v>
      </c>
      <c r="I108" s="70">
        <v>0.70179999999999998</v>
      </c>
      <c r="J108" s="70">
        <v>0.69820000000000004</v>
      </c>
      <c r="K108" s="35">
        <f t="shared" si="18"/>
        <v>3.5999999999999366E-3</v>
      </c>
      <c r="L108" s="35">
        <f t="shared" si="19"/>
        <v>17.99999999999968</v>
      </c>
      <c r="M108" s="51">
        <f t="shared" si="20"/>
        <v>42.500000000000313</v>
      </c>
      <c r="N108" t="str">
        <f>B108</f>
        <v>48A</v>
      </c>
      <c r="P108" s="64">
        <f>AVERAGE(H108:H109)</f>
        <v>62.250000000000014</v>
      </c>
      <c r="Q108" s="63">
        <f>AVERAGE(L108:L109)</f>
        <v>17.749999999999709</v>
      </c>
      <c r="R108" s="63">
        <f>AVERAGE(M108:M109)</f>
        <v>44.500000000000298</v>
      </c>
      <c r="S108" t="str">
        <f t="shared" si="25"/>
        <v>WMS-</v>
      </c>
      <c r="T108" t="str">
        <f t="shared" si="26"/>
        <v>48</v>
      </c>
      <c r="U108" t="str">
        <f t="shared" si="23"/>
        <v>WMS-48</v>
      </c>
      <c r="V108">
        <f t="shared" si="27"/>
        <v>62.250000000000014</v>
      </c>
      <c r="W108">
        <f t="shared" si="28"/>
        <v>17.749999999999709</v>
      </c>
      <c r="X108">
        <f t="shared" si="29"/>
        <v>44.500000000000298</v>
      </c>
    </row>
    <row r="109" spans="1:24" x14ac:dyDescent="0.2">
      <c r="A109" s="30">
        <v>87</v>
      </c>
      <c r="B109" s="70" t="s">
        <v>216</v>
      </c>
      <c r="C109" s="32">
        <v>43451</v>
      </c>
      <c r="D109" s="2">
        <v>200</v>
      </c>
      <c r="E109">
        <v>0.1263</v>
      </c>
      <c r="F109">
        <v>0.1391</v>
      </c>
      <c r="G109" s="17">
        <f t="shared" si="21"/>
        <v>1.2800000000000006E-2</v>
      </c>
      <c r="H109" s="31">
        <f t="shared" si="22"/>
        <v>64.000000000000028</v>
      </c>
      <c r="I109">
        <v>0.79859999999999998</v>
      </c>
      <c r="J109" s="70">
        <v>0.79510000000000003</v>
      </c>
      <c r="K109" s="35">
        <f t="shared" si="18"/>
        <v>3.4999999999999476E-3</v>
      </c>
      <c r="L109" s="35">
        <f t="shared" si="19"/>
        <v>17.499999999999737</v>
      </c>
      <c r="M109" s="51">
        <f t="shared" si="20"/>
        <v>46.500000000000291</v>
      </c>
      <c r="P109" s="57"/>
      <c r="S109" t="str">
        <f t="shared" si="25"/>
        <v/>
      </c>
      <c r="T109" t="str">
        <f t="shared" si="26"/>
        <v/>
      </c>
      <c r="U109" t="str">
        <f t="shared" si="23"/>
        <v/>
      </c>
      <c r="V109" t="str">
        <f t="shared" si="27"/>
        <v/>
      </c>
      <c r="W109" t="str">
        <f t="shared" si="28"/>
        <v/>
      </c>
      <c r="X109" t="str">
        <f t="shared" si="29"/>
        <v/>
      </c>
    </row>
    <row r="110" spans="1:24" x14ac:dyDescent="0.2">
      <c r="A110" s="30">
        <v>88</v>
      </c>
      <c r="B110" s="70" t="s">
        <v>217</v>
      </c>
      <c r="C110" s="32">
        <v>43451</v>
      </c>
      <c r="D110" s="2">
        <v>200</v>
      </c>
      <c r="E110">
        <v>0.12740000000000001</v>
      </c>
      <c r="F110">
        <v>0.13950000000000001</v>
      </c>
      <c r="G110" s="17">
        <f t="shared" si="21"/>
        <v>1.21E-2</v>
      </c>
      <c r="H110" s="31">
        <f t="shared" si="22"/>
        <v>60.499999999999993</v>
      </c>
      <c r="I110">
        <v>1.0201</v>
      </c>
      <c r="J110" s="70">
        <v>1.0165</v>
      </c>
      <c r="K110" s="35">
        <f t="shared" si="18"/>
        <v>3.6000000000000476E-3</v>
      </c>
      <c r="L110" s="35">
        <f t="shared" si="19"/>
        <v>18.000000000000238</v>
      </c>
      <c r="M110" s="51">
        <f t="shared" si="20"/>
        <v>42.499999999999758</v>
      </c>
      <c r="N110" t="str">
        <f>B110</f>
        <v>49A</v>
      </c>
      <c r="P110" s="64">
        <f>AVERAGE(H110:H111)</f>
        <v>58.249999999999972</v>
      </c>
      <c r="Q110" s="63">
        <f>AVERAGE(L110:L111)</f>
        <v>17.750000000000263</v>
      </c>
      <c r="R110" s="63">
        <f>AVERAGE(M110:M111)</f>
        <v>40.499999999999702</v>
      </c>
      <c r="S110" t="str">
        <f t="shared" si="25"/>
        <v>WMS-</v>
      </c>
      <c r="T110" t="str">
        <f t="shared" si="26"/>
        <v>49</v>
      </c>
      <c r="U110" t="str">
        <f t="shared" si="23"/>
        <v>WMS-49</v>
      </c>
      <c r="V110">
        <f t="shared" si="27"/>
        <v>58.249999999999972</v>
      </c>
      <c r="W110">
        <f t="shared" si="28"/>
        <v>17.750000000000263</v>
      </c>
      <c r="X110">
        <f t="shared" si="29"/>
        <v>40.499999999999702</v>
      </c>
    </row>
    <row r="111" spans="1:24" x14ac:dyDescent="0.2">
      <c r="A111" s="30">
        <v>89</v>
      </c>
      <c r="B111" s="70" t="s">
        <v>218</v>
      </c>
      <c r="C111" s="32">
        <v>43451</v>
      </c>
      <c r="D111" s="2">
        <v>200</v>
      </c>
      <c r="E111">
        <v>0.12770000000000001</v>
      </c>
      <c r="F111">
        <v>0.1389</v>
      </c>
      <c r="G111" s="17">
        <f t="shared" si="21"/>
        <v>1.1199999999999988E-2</v>
      </c>
      <c r="H111" s="31">
        <f t="shared" si="22"/>
        <v>55.999999999999943</v>
      </c>
      <c r="I111">
        <v>0.96140000000000003</v>
      </c>
      <c r="J111" s="70">
        <v>0.95789999999999997</v>
      </c>
      <c r="K111" s="35">
        <f t="shared" si="18"/>
        <v>3.5000000000000586E-3</v>
      </c>
      <c r="L111" s="35">
        <f t="shared" si="19"/>
        <v>17.500000000000291</v>
      </c>
      <c r="M111" s="51">
        <f t="shared" si="20"/>
        <v>38.499999999999652</v>
      </c>
      <c r="P111" s="57"/>
      <c r="S111" t="str">
        <f t="shared" si="25"/>
        <v/>
      </c>
      <c r="T111" t="str">
        <f t="shared" si="26"/>
        <v/>
      </c>
      <c r="U111" t="str">
        <f t="shared" si="23"/>
        <v/>
      </c>
      <c r="V111" t="str">
        <f t="shared" si="27"/>
        <v/>
      </c>
      <c r="W111" t="str">
        <f t="shared" si="28"/>
        <v/>
      </c>
      <c r="X111" t="str">
        <f t="shared" si="29"/>
        <v/>
      </c>
    </row>
    <row r="112" spans="1:24" x14ac:dyDescent="0.2">
      <c r="A112" s="30">
        <v>90</v>
      </c>
      <c r="B112" s="70" t="s">
        <v>219</v>
      </c>
      <c r="C112" s="32">
        <v>43451</v>
      </c>
      <c r="D112" s="2">
        <v>200</v>
      </c>
      <c r="E112">
        <v>0.12740000000000001</v>
      </c>
      <c r="F112">
        <v>0.13539999999999999</v>
      </c>
      <c r="G112" s="17">
        <f t="shared" si="21"/>
        <v>7.9999999999999793E-3</v>
      </c>
      <c r="H112" s="31">
        <f t="shared" si="22"/>
        <v>39.999999999999893</v>
      </c>
      <c r="I112">
        <v>1.1739999999999999</v>
      </c>
      <c r="J112" s="70">
        <v>1.1712</v>
      </c>
      <c r="K112" s="35">
        <f t="shared" si="18"/>
        <v>2.7999999999999137E-3</v>
      </c>
      <c r="L112" s="35">
        <f t="shared" si="19"/>
        <v>13.999999999999568</v>
      </c>
      <c r="M112" s="51">
        <f t="shared" si="20"/>
        <v>26.000000000000327</v>
      </c>
      <c r="N112" t="str">
        <f>B112</f>
        <v>50A</v>
      </c>
      <c r="P112" s="64">
        <f>AVERAGE(H112:H113)</f>
        <v>47.25</v>
      </c>
      <c r="Q112" s="63">
        <f>AVERAGE(L112:L113)</f>
        <v>15.49999999999968</v>
      </c>
      <c r="R112" s="63">
        <f>AVERAGE(M112:M113)</f>
        <v>31.75000000000032</v>
      </c>
      <c r="S112" t="str">
        <f t="shared" si="25"/>
        <v>WMS-</v>
      </c>
      <c r="T112" t="str">
        <f t="shared" si="26"/>
        <v>50</v>
      </c>
      <c r="U112" t="str">
        <f t="shared" si="23"/>
        <v>WMS-50</v>
      </c>
      <c r="V112">
        <f t="shared" si="27"/>
        <v>47.25</v>
      </c>
      <c r="W112">
        <f t="shared" si="28"/>
        <v>15.49999999999968</v>
      </c>
      <c r="X112">
        <f t="shared" si="29"/>
        <v>31.75000000000032</v>
      </c>
    </row>
    <row r="113" spans="1:24" x14ac:dyDescent="0.2">
      <c r="A113" s="30">
        <v>91</v>
      </c>
      <c r="B113" s="70" t="s">
        <v>220</v>
      </c>
      <c r="C113" s="32">
        <v>43451</v>
      </c>
      <c r="D113" s="2">
        <v>200</v>
      </c>
      <c r="E113">
        <v>0.12609999999999999</v>
      </c>
      <c r="F113">
        <v>0.13700000000000001</v>
      </c>
      <c r="G113" s="17">
        <f t="shared" si="21"/>
        <v>1.0900000000000021E-2</v>
      </c>
      <c r="H113" s="31">
        <f t="shared" si="22"/>
        <v>54.500000000000099</v>
      </c>
      <c r="I113">
        <v>0.92230000000000001</v>
      </c>
      <c r="J113" s="70">
        <v>0.91890000000000005</v>
      </c>
      <c r="K113" s="35">
        <f t="shared" si="18"/>
        <v>3.3999999999999586E-3</v>
      </c>
      <c r="L113" s="35">
        <f t="shared" si="19"/>
        <v>16.99999999999979</v>
      </c>
      <c r="M113" s="51">
        <f t="shared" si="20"/>
        <v>37.500000000000313</v>
      </c>
      <c r="P113" s="57"/>
      <c r="S113" t="str">
        <f t="shared" si="25"/>
        <v/>
      </c>
      <c r="T113" t="str">
        <f t="shared" si="26"/>
        <v/>
      </c>
      <c r="U113" t="str">
        <f t="shared" si="23"/>
        <v/>
      </c>
      <c r="V113" t="str">
        <f t="shared" si="27"/>
        <v/>
      </c>
      <c r="W113" t="str">
        <f t="shared" si="28"/>
        <v/>
      </c>
      <c r="X113" t="str">
        <f t="shared" si="29"/>
        <v/>
      </c>
    </row>
    <row r="114" spans="1:24" x14ac:dyDescent="0.2">
      <c r="A114" s="30">
        <v>92</v>
      </c>
      <c r="B114" s="70" t="s">
        <v>27</v>
      </c>
      <c r="C114" s="32">
        <v>43451</v>
      </c>
      <c r="D114" s="2">
        <v>200</v>
      </c>
      <c r="E114">
        <v>0.12620000000000001</v>
      </c>
      <c r="F114">
        <v>0.12620000000000001</v>
      </c>
      <c r="G114" s="17">
        <f t="shared" si="21"/>
        <v>0</v>
      </c>
      <c r="H114" s="31">
        <f t="shared" si="22"/>
        <v>0</v>
      </c>
      <c r="I114">
        <v>0.7843</v>
      </c>
      <c r="J114" s="70">
        <v>0.78349999999999997</v>
      </c>
      <c r="K114" s="35">
        <f t="shared" si="18"/>
        <v>8.0000000000002292E-4</v>
      </c>
      <c r="L114" s="35">
        <f t="shared" si="19"/>
        <v>4.0000000000001146</v>
      </c>
      <c r="M114" s="51">
        <f t="shared" si="20"/>
        <v>-4.0000000000001146</v>
      </c>
      <c r="O114" s="72" t="s">
        <v>27</v>
      </c>
      <c r="P114" s="64">
        <f>H114</f>
        <v>0</v>
      </c>
      <c r="Q114" s="63">
        <f>L114</f>
        <v>4.0000000000001146</v>
      </c>
      <c r="R114" s="63">
        <f>M114</f>
        <v>-4.0000000000001146</v>
      </c>
      <c r="S114" t="str">
        <f t="shared" si="25"/>
        <v/>
      </c>
      <c r="T114" t="str">
        <f t="shared" si="26"/>
        <v/>
      </c>
      <c r="U114" t="str">
        <f t="shared" si="23"/>
        <v/>
      </c>
      <c r="V114" t="str">
        <f t="shared" si="27"/>
        <v/>
      </c>
      <c r="X114" t="str">
        <f t="shared" si="29"/>
        <v/>
      </c>
    </row>
    <row r="115" spans="1:24" x14ac:dyDescent="0.2">
      <c r="A115" s="30">
        <v>93</v>
      </c>
      <c r="B115" s="70" t="s">
        <v>221</v>
      </c>
      <c r="C115" s="32">
        <v>43452</v>
      </c>
      <c r="D115" s="2">
        <v>200</v>
      </c>
      <c r="E115">
        <v>0.1275</v>
      </c>
      <c r="F115">
        <v>0.13439999999999999</v>
      </c>
      <c r="G115" s="17">
        <f t="shared" si="21"/>
        <v>6.8999999999999895E-3</v>
      </c>
      <c r="H115" s="31">
        <f t="shared" si="22"/>
        <v>34.499999999999943</v>
      </c>
      <c r="I115">
        <v>0.86570000000000003</v>
      </c>
      <c r="J115" s="70">
        <v>0.86319999999999997</v>
      </c>
      <c r="K115" s="35">
        <f t="shared" si="18"/>
        <v>2.5000000000000577E-3</v>
      </c>
      <c r="L115" s="35">
        <f t="shared" si="19"/>
        <v>12.500000000000288</v>
      </c>
      <c r="M115" s="51">
        <f t="shared" si="20"/>
        <v>21.999999999999655</v>
      </c>
      <c r="N115" t="str">
        <f>B115</f>
        <v>51A</v>
      </c>
      <c r="P115" s="64">
        <f>AVERAGE(H115:H116)</f>
        <v>43.499999999999929</v>
      </c>
      <c r="Q115" s="63">
        <f>AVERAGE(L115:L116)</f>
        <v>17.749999999999986</v>
      </c>
      <c r="R115" s="63">
        <f>AVERAGE(M115:M116)</f>
        <v>25.749999999999936</v>
      </c>
      <c r="S115" t="str">
        <f t="shared" si="25"/>
        <v>WMS-</v>
      </c>
      <c r="T115" t="str">
        <f t="shared" si="26"/>
        <v>51</v>
      </c>
      <c r="U115" t="str">
        <f t="shared" si="23"/>
        <v>WMS-51</v>
      </c>
      <c r="V115">
        <f t="shared" si="27"/>
        <v>43.499999999999929</v>
      </c>
      <c r="W115">
        <f t="shared" si="28"/>
        <v>17.749999999999986</v>
      </c>
      <c r="X115">
        <f t="shared" si="29"/>
        <v>25.749999999999936</v>
      </c>
    </row>
    <row r="116" spans="1:24" x14ac:dyDescent="0.2">
      <c r="A116" s="30">
        <v>94</v>
      </c>
      <c r="B116" s="70" t="s">
        <v>222</v>
      </c>
      <c r="C116" s="32">
        <v>43452</v>
      </c>
      <c r="D116" s="2">
        <v>200</v>
      </c>
      <c r="E116">
        <v>0.12690000000000001</v>
      </c>
      <c r="F116">
        <v>0.13739999999999999</v>
      </c>
      <c r="G116" s="17">
        <f t="shared" si="21"/>
        <v>1.0499999999999982E-2</v>
      </c>
      <c r="H116" s="31">
        <f t="shared" si="22"/>
        <v>52.499999999999908</v>
      </c>
      <c r="I116">
        <v>0.95789999999999997</v>
      </c>
      <c r="J116" s="70">
        <v>0.95330000000000004</v>
      </c>
      <c r="K116" s="35">
        <f t="shared" si="18"/>
        <v>4.5999999999999375E-3</v>
      </c>
      <c r="L116" s="35">
        <f t="shared" si="19"/>
        <v>22.999999999999687</v>
      </c>
      <c r="M116" s="51">
        <f t="shared" si="20"/>
        <v>29.50000000000022</v>
      </c>
      <c r="P116" s="57"/>
      <c r="S116" t="str">
        <f t="shared" si="25"/>
        <v/>
      </c>
      <c r="T116" t="str">
        <f t="shared" si="26"/>
        <v/>
      </c>
      <c r="U116" t="str">
        <f t="shared" si="23"/>
        <v/>
      </c>
      <c r="V116" t="str">
        <f t="shared" si="27"/>
        <v/>
      </c>
      <c r="W116" t="str">
        <f t="shared" si="28"/>
        <v/>
      </c>
      <c r="X116" t="str">
        <f t="shared" si="29"/>
        <v/>
      </c>
    </row>
    <row r="117" spans="1:24" x14ac:dyDescent="0.2">
      <c r="A117" s="30">
        <v>95</v>
      </c>
      <c r="B117" s="70" t="s">
        <v>223</v>
      </c>
      <c r="C117" s="32">
        <v>43452</v>
      </c>
      <c r="D117" s="2">
        <v>200</v>
      </c>
      <c r="E117">
        <v>0.1285</v>
      </c>
      <c r="F117">
        <v>0.14030000000000001</v>
      </c>
      <c r="G117" s="17">
        <f t="shared" si="21"/>
        <v>1.1800000000000005E-2</v>
      </c>
      <c r="H117" s="31">
        <f t="shared" si="22"/>
        <v>59.000000000000021</v>
      </c>
      <c r="I117">
        <v>0.89070000000000005</v>
      </c>
      <c r="J117" s="70">
        <v>0.88749999999999996</v>
      </c>
      <c r="K117" s="35">
        <f t="shared" si="18"/>
        <v>3.2000000000000917E-3</v>
      </c>
      <c r="L117" s="35">
        <f t="shared" si="19"/>
        <v>16.000000000000458</v>
      </c>
      <c r="M117" s="51">
        <f t="shared" si="20"/>
        <v>42.999999999999559</v>
      </c>
      <c r="N117" t="str">
        <f>B117</f>
        <v>52A</v>
      </c>
      <c r="P117" s="64">
        <f>AVERAGE(H117:H118)</f>
        <v>60.500000000000064</v>
      </c>
      <c r="Q117" s="63">
        <f>AVERAGE(L117:L118)</f>
        <v>17.500000000000291</v>
      </c>
      <c r="R117" s="63">
        <f>AVERAGE(M117:M118)</f>
        <v>42.999999999999773</v>
      </c>
      <c r="S117" t="str">
        <f t="shared" si="25"/>
        <v>WMS-</v>
      </c>
      <c r="T117" t="str">
        <f t="shared" si="26"/>
        <v>52</v>
      </c>
      <c r="U117" t="str">
        <f t="shared" si="23"/>
        <v>WMS-52</v>
      </c>
      <c r="V117">
        <f t="shared" si="27"/>
        <v>60.500000000000064</v>
      </c>
      <c r="W117">
        <f t="shared" si="28"/>
        <v>17.500000000000291</v>
      </c>
      <c r="X117">
        <f t="shared" si="29"/>
        <v>42.999999999999773</v>
      </c>
    </row>
    <row r="118" spans="1:24" x14ac:dyDescent="0.2">
      <c r="A118" s="30">
        <v>96</v>
      </c>
      <c r="B118" s="70" t="s">
        <v>224</v>
      </c>
      <c r="C118" s="32">
        <v>43452</v>
      </c>
      <c r="D118" s="2">
        <v>200</v>
      </c>
      <c r="E118">
        <v>0.12759999999999999</v>
      </c>
      <c r="F118">
        <v>0.14000000000000001</v>
      </c>
      <c r="G118" s="17">
        <f t="shared" si="21"/>
        <v>1.2400000000000022E-2</v>
      </c>
      <c r="H118" s="31">
        <f t="shared" si="22"/>
        <v>62.000000000000107</v>
      </c>
      <c r="I118">
        <v>0.98360000000000003</v>
      </c>
      <c r="J118" s="70">
        <v>0.9798</v>
      </c>
      <c r="K118" s="35">
        <f t="shared" si="18"/>
        <v>3.8000000000000256E-3</v>
      </c>
      <c r="L118" s="35">
        <f t="shared" si="19"/>
        <v>19.000000000000128</v>
      </c>
      <c r="M118" s="51">
        <f t="shared" si="20"/>
        <v>42.999999999999979</v>
      </c>
      <c r="P118" s="57"/>
      <c r="S118" t="str">
        <f t="shared" si="25"/>
        <v/>
      </c>
      <c r="T118" t="str">
        <f t="shared" si="26"/>
        <v/>
      </c>
      <c r="U118" t="str">
        <f t="shared" si="23"/>
        <v/>
      </c>
      <c r="V118" t="str">
        <f t="shared" si="27"/>
        <v/>
      </c>
      <c r="W118" t="str">
        <f t="shared" si="28"/>
        <v/>
      </c>
      <c r="X118" t="str">
        <f t="shared" si="29"/>
        <v/>
      </c>
    </row>
    <row r="119" spans="1:24" x14ac:dyDescent="0.2">
      <c r="A119" s="30">
        <v>97</v>
      </c>
      <c r="B119" s="70" t="s">
        <v>225</v>
      </c>
      <c r="C119" s="32">
        <v>43452</v>
      </c>
      <c r="D119" s="2">
        <v>200</v>
      </c>
      <c r="E119">
        <v>0.1265</v>
      </c>
      <c r="F119">
        <v>0.13739999999999999</v>
      </c>
      <c r="G119" s="17">
        <f t="shared" si="21"/>
        <v>1.0899999999999993E-2</v>
      </c>
      <c r="H119" s="31">
        <f t="shared" si="22"/>
        <v>54.499999999999964</v>
      </c>
      <c r="I119">
        <v>0.98129999999999995</v>
      </c>
      <c r="J119" s="70">
        <v>0.97740000000000005</v>
      </c>
      <c r="K119" s="35">
        <f t="shared" si="18"/>
        <v>3.8999999999999035E-3</v>
      </c>
      <c r="L119" s="35">
        <f t="shared" si="19"/>
        <v>19.499999999999517</v>
      </c>
      <c r="M119" s="51">
        <f t="shared" si="20"/>
        <v>35.000000000000448</v>
      </c>
      <c r="N119" t="str">
        <f>B119</f>
        <v>53A</v>
      </c>
      <c r="P119" s="64">
        <f>AVERAGE(H119:H120)</f>
        <v>64.25</v>
      </c>
      <c r="Q119" s="63">
        <f>AVERAGE(L119:L120)</f>
        <v>19.749999999999766</v>
      </c>
      <c r="R119" s="63">
        <f>AVERAGE(M119:M120)</f>
        <v>44.500000000000227</v>
      </c>
      <c r="S119" t="str">
        <f t="shared" si="25"/>
        <v>WMS-</v>
      </c>
      <c r="T119" t="str">
        <f t="shared" si="26"/>
        <v>53</v>
      </c>
      <c r="U119" t="str">
        <f t="shared" si="23"/>
        <v>WMS-53</v>
      </c>
      <c r="V119">
        <f t="shared" si="27"/>
        <v>64.25</v>
      </c>
      <c r="W119">
        <f t="shared" si="28"/>
        <v>19.749999999999766</v>
      </c>
      <c r="X119">
        <f t="shared" si="29"/>
        <v>44.500000000000227</v>
      </c>
    </row>
    <row r="120" spans="1:24" x14ac:dyDescent="0.2">
      <c r="A120" s="30">
        <v>98</v>
      </c>
      <c r="B120" s="70" t="s">
        <v>226</v>
      </c>
      <c r="C120" s="32">
        <v>43452</v>
      </c>
      <c r="D120" s="2">
        <v>200</v>
      </c>
      <c r="E120">
        <v>0.12709999999999999</v>
      </c>
      <c r="F120">
        <v>0.1419</v>
      </c>
      <c r="G120" s="17">
        <f t="shared" si="21"/>
        <v>1.4800000000000008E-2</v>
      </c>
      <c r="H120" s="31">
        <f t="shared" si="22"/>
        <v>74.000000000000028</v>
      </c>
      <c r="I120">
        <v>0.8841</v>
      </c>
      <c r="J120" s="70">
        <v>0.88009999999999999</v>
      </c>
      <c r="K120" s="35">
        <f t="shared" si="18"/>
        <v>4.0000000000000036E-3</v>
      </c>
      <c r="L120" s="35">
        <f t="shared" si="19"/>
        <v>20.000000000000018</v>
      </c>
      <c r="M120" s="51">
        <f t="shared" si="20"/>
        <v>54.000000000000014</v>
      </c>
      <c r="P120" s="57"/>
      <c r="S120" t="str">
        <f t="shared" si="25"/>
        <v/>
      </c>
      <c r="T120" t="str">
        <f t="shared" si="26"/>
        <v/>
      </c>
      <c r="U120" t="str">
        <f t="shared" si="23"/>
        <v/>
      </c>
      <c r="V120" t="str">
        <f t="shared" si="27"/>
        <v/>
      </c>
      <c r="W120" t="str">
        <f t="shared" si="28"/>
        <v/>
      </c>
      <c r="X120" t="str">
        <f t="shared" si="29"/>
        <v/>
      </c>
    </row>
    <row r="121" spans="1:24" x14ac:dyDescent="0.2">
      <c r="A121" s="30">
        <v>99</v>
      </c>
      <c r="B121" s="70" t="s">
        <v>36</v>
      </c>
      <c r="C121" s="32">
        <v>43452</v>
      </c>
      <c r="D121" s="2">
        <v>200</v>
      </c>
      <c r="E121">
        <v>0.12709999999999999</v>
      </c>
      <c r="F121">
        <v>0.12709999999999999</v>
      </c>
      <c r="G121" s="17">
        <f t="shared" si="21"/>
        <v>0</v>
      </c>
      <c r="H121" s="31">
        <f t="shared" si="22"/>
        <v>0</v>
      </c>
      <c r="I121">
        <v>0.80810000000000004</v>
      </c>
      <c r="J121" s="70">
        <v>0.8075</v>
      </c>
      <c r="K121" s="35">
        <f t="shared" si="18"/>
        <v>6.0000000000004494E-4</v>
      </c>
      <c r="L121" s="35">
        <f t="shared" si="19"/>
        <v>3.0000000000002247</v>
      </c>
      <c r="M121" s="51">
        <f t="shared" si="20"/>
        <v>-3.0000000000002247</v>
      </c>
      <c r="O121" s="72" t="s">
        <v>27</v>
      </c>
      <c r="P121" s="64">
        <f>AVERAGE(H121:H122)</f>
        <v>-1.2500000000000011</v>
      </c>
      <c r="Q121" s="63">
        <f>AVERAGE(L121:L122)</f>
        <v>9.000000000000119</v>
      </c>
      <c r="R121" s="63">
        <f>AVERAGE(M121:M122)</f>
        <v>-10.250000000000119</v>
      </c>
      <c r="S121" t="str">
        <f t="shared" si="25"/>
        <v/>
      </c>
      <c r="T121" t="str">
        <f t="shared" si="26"/>
        <v/>
      </c>
      <c r="U121" t="str">
        <f t="shared" si="23"/>
        <v/>
      </c>
      <c r="V121" t="str">
        <f t="shared" si="27"/>
        <v/>
      </c>
      <c r="X121" t="str">
        <f t="shared" si="29"/>
        <v/>
      </c>
    </row>
    <row r="122" spans="1:24" x14ac:dyDescent="0.2">
      <c r="A122" s="30">
        <v>83</v>
      </c>
      <c r="B122" s="70" t="s">
        <v>27</v>
      </c>
      <c r="C122" s="32">
        <v>43631</v>
      </c>
      <c r="D122" s="2">
        <v>200</v>
      </c>
      <c r="E122">
        <v>0.12559999999999999</v>
      </c>
      <c r="F122" s="70">
        <v>0.12509999999999999</v>
      </c>
      <c r="G122" s="17">
        <f t="shared" si="21"/>
        <v>-5.0000000000000044E-4</v>
      </c>
      <c r="H122" s="31">
        <f t="shared" si="22"/>
        <v>-2.5000000000000022</v>
      </c>
      <c r="I122" s="70">
        <v>0.97929999999999995</v>
      </c>
      <c r="J122" s="70">
        <v>0.97629999999999995</v>
      </c>
      <c r="K122" s="35">
        <f t="shared" si="18"/>
        <v>3.0000000000000027E-3</v>
      </c>
      <c r="L122" s="35">
        <f t="shared" si="19"/>
        <v>15.000000000000012</v>
      </c>
      <c r="M122" s="51">
        <f t="shared" si="20"/>
        <v>-17.500000000000014</v>
      </c>
      <c r="P122" s="64"/>
      <c r="Q122" s="63"/>
      <c r="R122" s="63"/>
      <c r="S122" t="str">
        <f t="shared" si="25"/>
        <v/>
      </c>
      <c r="T122" t="str">
        <f t="shared" si="26"/>
        <v/>
      </c>
      <c r="U122" t="str">
        <f t="shared" si="23"/>
        <v/>
      </c>
      <c r="V122" t="str">
        <f t="shared" si="27"/>
        <v/>
      </c>
      <c r="W122" t="str">
        <f t="shared" si="28"/>
        <v/>
      </c>
      <c r="X122" t="str">
        <f t="shared" si="29"/>
        <v/>
      </c>
    </row>
    <row r="123" spans="1:24" x14ac:dyDescent="0.2">
      <c r="A123" s="30">
        <v>83</v>
      </c>
      <c r="B123" s="70" t="s">
        <v>204</v>
      </c>
      <c r="C123" s="32">
        <v>43631</v>
      </c>
      <c r="D123" s="2">
        <v>200</v>
      </c>
      <c r="E123">
        <v>0.12529999999999999</v>
      </c>
      <c r="F123" s="70">
        <v>0.13009999999999999</v>
      </c>
      <c r="G123" s="17">
        <f t="shared" si="21"/>
        <v>4.7999999999999987E-3</v>
      </c>
      <c r="H123" s="31">
        <f t="shared" si="22"/>
        <v>23.999999999999993</v>
      </c>
      <c r="I123" s="70">
        <v>0.97719999999999996</v>
      </c>
      <c r="J123" s="70">
        <v>0.97540000000000004</v>
      </c>
      <c r="K123" s="35">
        <f t="shared" si="18"/>
        <v>1.7999999999999128E-3</v>
      </c>
      <c r="L123" s="35">
        <f t="shared" si="19"/>
        <v>8.999999999999563</v>
      </c>
      <c r="M123" s="51">
        <f t="shared" si="20"/>
        <v>15.00000000000043</v>
      </c>
      <c r="N123" t="str">
        <f>B123</f>
        <v>54A</v>
      </c>
      <c r="P123" s="64">
        <f>H123</f>
        <v>23.999999999999993</v>
      </c>
      <c r="Q123" s="63">
        <f>L123</f>
        <v>8.999999999999563</v>
      </c>
      <c r="R123" s="63">
        <f>M123</f>
        <v>15.00000000000043</v>
      </c>
      <c r="S123" t="str">
        <f t="shared" si="25"/>
        <v>WMS-</v>
      </c>
      <c r="T123" t="str">
        <f t="shared" si="26"/>
        <v>54</v>
      </c>
      <c r="U123" t="str">
        <f t="shared" si="23"/>
        <v>WMS-54</v>
      </c>
      <c r="V123">
        <f t="shared" si="27"/>
        <v>23.999999999999993</v>
      </c>
      <c r="W123">
        <f t="shared" si="28"/>
        <v>8.999999999999563</v>
      </c>
      <c r="X123">
        <f t="shared" si="29"/>
        <v>15.00000000000043</v>
      </c>
    </row>
    <row r="124" spans="1:24" x14ac:dyDescent="0.2">
      <c r="A124" s="30">
        <v>83</v>
      </c>
      <c r="B124" s="70" t="s">
        <v>27</v>
      </c>
      <c r="C124" s="32">
        <v>43632</v>
      </c>
      <c r="D124" s="2">
        <v>200</v>
      </c>
      <c r="E124">
        <v>0.127</v>
      </c>
      <c r="F124" s="70">
        <v>0.12720000000000001</v>
      </c>
      <c r="G124" s="17">
        <f t="shared" si="21"/>
        <v>2.0000000000000573E-4</v>
      </c>
      <c r="H124" s="31">
        <f t="shared" si="22"/>
        <v>1.0000000000000286</v>
      </c>
      <c r="I124" s="70">
        <v>0.96870000000000001</v>
      </c>
      <c r="J124" s="70">
        <v>0.96750000000000003</v>
      </c>
      <c r="K124" s="35">
        <f t="shared" si="18"/>
        <v>1.1999999999999789E-3</v>
      </c>
      <c r="L124" s="35">
        <f t="shared" si="19"/>
        <v>5.9999999999998943</v>
      </c>
      <c r="M124" s="51">
        <f t="shared" si="20"/>
        <v>-4.9999999999998659</v>
      </c>
      <c r="O124" s="72" t="s">
        <v>27</v>
      </c>
      <c r="P124" s="64">
        <f>H124</f>
        <v>1.0000000000000286</v>
      </c>
      <c r="Q124" s="63">
        <f>L124</f>
        <v>5.9999999999998943</v>
      </c>
      <c r="R124" s="63">
        <f>M124</f>
        <v>-4.9999999999998659</v>
      </c>
      <c r="T124" t="str">
        <f t="shared" si="26"/>
        <v/>
      </c>
      <c r="U124" t="str">
        <f t="shared" si="23"/>
        <v/>
      </c>
      <c r="X124" t="str">
        <f t="shared" si="29"/>
        <v/>
      </c>
    </row>
    <row r="125" spans="1:24" x14ac:dyDescent="0.2">
      <c r="A125" s="30">
        <v>83</v>
      </c>
      <c r="B125" s="71" t="s">
        <v>205</v>
      </c>
      <c r="C125" s="32">
        <v>43632</v>
      </c>
      <c r="D125" s="2">
        <v>200</v>
      </c>
      <c r="E125">
        <v>0.12609999999999999</v>
      </c>
      <c r="F125" s="70">
        <v>0.13</v>
      </c>
      <c r="G125" s="17">
        <f t="shared" si="21"/>
        <v>3.9000000000000146E-3</v>
      </c>
      <c r="H125" s="31">
        <f t="shared" si="22"/>
        <v>19.500000000000071</v>
      </c>
      <c r="I125" s="70">
        <v>0.996</v>
      </c>
      <c r="J125" s="70">
        <v>0.99439999999999995</v>
      </c>
      <c r="K125" s="35">
        <f t="shared" si="18"/>
        <v>1.6000000000000458E-3</v>
      </c>
      <c r="L125" s="35">
        <f t="shared" si="19"/>
        <v>8.0000000000002292</v>
      </c>
      <c r="M125" s="51">
        <f t="shared" si="20"/>
        <v>11.499999999999842</v>
      </c>
      <c r="N125" t="str">
        <f>B125</f>
        <v>55A</v>
      </c>
      <c r="P125" s="64">
        <f>AVERAGE(H125:H126)</f>
        <v>20.000000000000014</v>
      </c>
      <c r="Q125" s="63">
        <f>AVERAGE(L125:L126)</f>
        <v>8.2499999999996465</v>
      </c>
      <c r="R125" s="63">
        <f>AVERAGE(M125:M126)</f>
        <v>11.750000000000369</v>
      </c>
      <c r="S125" t="str">
        <f t="shared" si="25"/>
        <v>WMS-</v>
      </c>
      <c r="T125" t="str">
        <f t="shared" si="26"/>
        <v>55</v>
      </c>
      <c r="U125" t="str">
        <f t="shared" si="23"/>
        <v>WMS-55</v>
      </c>
      <c r="V125">
        <f t="shared" si="27"/>
        <v>20.000000000000014</v>
      </c>
      <c r="W125">
        <f t="shared" si="28"/>
        <v>8.2499999999996465</v>
      </c>
      <c r="X125">
        <f t="shared" si="29"/>
        <v>11.750000000000369</v>
      </c>
    </row>
    <row r="126" spans="1:24" x14ac:dyDescent="0.2">
      <c r="A126" s="30">
        <v>83</v>
      </c>
      <c r="B126" s="70" t="s">
        <v>206</v>
      </c>
      <c r="C126" s="32">
        <v>43632</v>
      </c>
      <c r="D126" s="2">
        <v>200</v>
      </c>
      <c r="E126">
        <v>0.12520000000000001</v>
      </c>
      <c r="F126" s="70">
        <v>0.1293</v>
      </c>
      <c r="G126" s="17">
        <f t="shared" si="21"/>
        <v>4.0999999999999925E-3</v>
      </c>
      <c r="H126" s="31">
        <f t="shared" si="22"/>
        <v>20.499999999999961</v>
      </c>
      <c r="I126" s="70">
        <v>1.0392999999999999</v>
      </c>
      <c r="J126" s="70">
        <v>1.0376000000000001</v>
      </c>
      <c r="K126" s="35">
        <f t="shared" si="18"/>
        <v>1.6999999999998128E-3</v>
      </c>
      <c r="L126" s="35">
        <f t="shared" si="19"/>
        <v>8.4999999999990639</v>
      </c>
      <c r="M126" s="51">
        <f t="shared" si="20"/>
        <v>12.000000000000897</v>
      </c>
      <c r="P126" s="57"/>
      <c r="S126" t="str">
        <f t="shared" si="25"/>
        <v/>
      </c>
      <c r="T126" t="str">
        <f t="shared" si="26"/>
        <v/>
      </c>
      <c r="U126" t="str">
        <f t="shared" si="23"/>
        <v/>
      </c>
      <c r="V126" t="str">
        <f t="shared" si="27"/>
        <v/>
      </c>
      <c r="W126" t="str">
        <f t="shared" si="28"/>
        <v/>
      </c>
      <c r="X126" t="str">
        <f t="shared" si="29"/>
        <v/>
      </c>
    </row>
    <row r="127" spans="1:24" x14ac:dyDescent="0.2">
      <c r="A127" s="30">
        <v>83</v>
      </c>
      <c r="B127" s="70" t="s">
        <v>207</v>
      </c>
      <c r="C127" s="32">
        <v>43632</v>
      </c>
      <c r="D127" s="2">
        <v>200</v>
      </c>
      <c r="E127">
        <v>0.12609999999999999</v>
      </c>
      <c r="F127" s="70">
        <v>0.12959999999999999</v>
      </c>
      <c r="G127" s="17">
        <f t="shared" si="21"/>
        <v>3.5000000000000031E-3</v>
      </c>
      <c r="H127" s="31">
        <f t="shared" si="22"/>
        <v>17.500000000000014</v>
      </c>
      <c r="I127" s="70">
        <v>1.0971</v>
      </c>
      <c r="J127" s="70">
        <v>1.0952</v>
      </c>
      <c r="K127" s="35">
        <f t="shared" si="18"/>
        <v>1.9000000000000128E-3</v>
      </c>
      <c r="L127" s="35">
        <f t="shared" si="19"/>
        <v>9.5000000000000639</v>
      </c>
      <c r="M127" s="51">
        <f t="shared" si="20"/>
        <v>7.9999999999999503</v>
      </c>
      <c r="N127" t="str">
        <f>B127</f>
        <v>56A</v>
      </c>
      <c r="P127" s="64">
        <f>AVERAGE(H127:H128)</f>
        <v>18.750000000000014</v>
      </c>
      <c r="Q127" s="63">
        <f>AVERAGE(L127:L128)</f>
        <v>10.000000000000009</v>
      </c>
      <c r="R127" s="63">
        <f>AVERAGE(M127:M128)</f>
        <v>8.7500000000000071</v>
      </c>
      <c r="S127" t="str">
        <f t="shared" si="25"/>
        <v>WMS-</v>
      </c>
      <c r="T127" t="str">
        <f t="shared" si="26"/>
        <v>56</v>
      </c>
      <c r="U127" t="str">
        <f t="shared" si="23"/>
        <v>WMS-56</v>
      </c>
      <c r="V127">
        <f t="shared" si="27"/>
        <v>18.750000000000014</v>
      </c>
      <c r="W127">
        <f t="shared" si="28"/>
        <v>10.000000000000009</v>
      </c>
      <c r="X127">
        <f t="shared" si="29"/>
        <v>8.7500000000000071</v>
      </c>
    </row>
    <row r="128" spans="1:24" x14ac:dyDescent="0.2">
      <c r="A128" s="30">
        <v>83</v>
      </c>
      <c r="B128" s="70" t="s">
        <v>208</v>
      </c>
      <c r="C128" s="32">
        <v>43632</v>
      </c>
      <c r="D128" s="2">
        <v>200</v>
      </c>
      <c r="E128">
        <v>0.1258</v>
      </c>
      <c r="F128" s="70">
        <v>0.1298</v>
      </c>
      <c r="G128" s="17">
        <f t="shared" si="21"/>
        <v>4.0000000000000036E-3</v>
      </c>
      <c r="H128" s="31">
        <f t="shared" si="22"/>
        <v>20.000000000000018</v>
      </c>
      <c r="I128" s="70">
        <v>1.1014999999999999</v>
      </c>
      <c r="J128" s="70">
        <v>1.0993999999999999</v>
      </c>
      <c r="K128" s="35">
        <f t="shared" si="18"/>
        <v>2.0999999999999908E-3</v>
      </c>
      <c r="L128" s="35">
        <f t="shared" si="19"/>
        <v>10.499999999999954</v>
      </c>
      <c r="M128" s="51">
        <f t="shared" si="20"/>
        <v>9.5000000000000639</v>
      </c>
      <c r="P128" s="57"/>
      <c r="S128" t="str">
        <f t="shared" si="25"/>
        <v/>
      </c>
      <c r="T128" t="str">
        <f t="shared" si="26"/>
        <v/>
      </c>
      <c r="U128" t="str">
        <f t="shared" si="23"/>
        <v/>
      </c>
      <c r="V128" t="str">
        <f t="shared" si="27"/>
        <v/>
      </c>
      <c r="W128" t="str">
        <f t="shared" si="28"/>
        <v/>
      </c>
      <c r="X128" t="str">
        <f t="shared" si="29"/>
        <v/>
      </c>
    </row>
    <row r="129" spans="1:24" x14ac:dyDescent="0.2">
      <c r="A129" s="30">
        <v>83</v>
      </c>
      <c r="B129" s="70" t="s">
        <v>209</v>
      </c>
      <c r="C129" s="32">
        <v>43632</v>
      </c>
      <c r="D129" s="2">
        <v>200</v>
      </c>
      <c r="E129">
        <v>0.1265</v>
      </c>
      <c r="F129" s="70">
        <v>0.13070000000000001</v>
      </c>
      <c r="G129" s="17">
        <f t="shared" si="21"/>
        <v>4.2000000000000093E-3</v>
      </c>
      <c r="H129" s="31">
        <f t="shared" si="22"/>
        <v>21.000000000000043</v>
      </c>
      <c r="I129" s="70">
        <v>0.89159999999999995</v>
      </c>
      <c r="J129" s="70">
        <v>0.88970000000000005</v>
      </c>
      <c r="K129" s="35">
        <f t="shared" si="18"/>
        <v>1.8999999999999018E-3</v>
      </c>
      <c r="L129" s="35">
        <f t="shared" si="19"/>
        <v>9.4999999999995079</v>
      </c>
      <c r="M129" s="51">
        <f t="shared" si="20"/>
        <v>11.500000000000535</v>
      </c>
      <c r="N129" t="str">
        <f>B129</f>
        <v>57A</v>
      </c>
      <c r="P129" s="64">
        <f>AVERAGE(H129:H130)</f>
        <v>20.750000000000071</v>
      </c>
      <c r="Q129" s="63">
        <f>AVERAGE(L129:L130)</f>
        <v>9.7499999999997584</v>
      </c>
      <c r="R129" s="63">
        <f>AVERAGE(M129:M130)</f>
        <v>11.000000000000313</v>
      </c>
      <c r="S129" t="str">
        <f t="shared" si="25"/>
        <v>WMS-</v>
      </c>
      <c r="T129" t="str">
        <f t="shared" si="26"/>
        <v>57</v>
      </c>
      <c r="U129" t="str">
        <f t="shared" si="23"/>
        <v>WMS-57</v>
      </c>
      <c r="V129">
        <f t="shared" si="27"/>
        <v>20.750000000000071</v>
      </c>
      <c r="W129">
        <f t="shared" si="28"/>
        <v>9.7499999999997584</v>
      </c>
      <c r="X129">
        <f t="shared" si="29"/>
        <v>11.000000000000313</v>
      </c>
    </row>
    <row r="130" spans="1:24" x14ac:dyDescent="0.2">
      <c r="A130" s="30">
        <v>83</v>
      </c>
      <c r="B130" s="70" t="s">
        <v>210</v>
      </c>
      <c r="C130" s="32">
        <v>43632</v>
      </c>
      <c r="D130" s="2">
        <v>200</v>
      </c>
      <c r="E130">
        <v>0.12509999999999999</v>
      </c>
      <c r="F130" s="70">
        <v>0.12920000000000001</v>
      </c>
      <c r="G130" s="17">
        <f t="shared" si="21"/>
        <v>4.1000000000000203E-3</v>
      </c>
      <c r="H130" s="31">
        <f t="shared" si="22"/>
        <v>20.500000000000099</v>
      </c>
      <c r="I130" s="70">
        <v>0.85850000000000004</v>
      </c>
      <c r="J130" s="70">
        <v>0.85650000000000004</v>
      </c>
      <c r="K130" s="35">
        <f t="shared" si="18"/>
        <v>2.0000000000000018E-3</v>
      </c>
      <c r="L130" s="35">
        <f t="shared" si="19"/>
        <v>10.000000000000009</v>
      </c>
      <c r="M130" s="51">
        <f t="shared" si="20"/>
        <v>10.500000000000091</v>
      </c>
      <c r="P130" s="57"/>
      <c r="S130" t="str">
        <f t="shared" si="25"/>
        <v/>
      </c>
      <c r="T130" t="str">
        <f t="shared" si="26"/>
        <v/>
      </c>
      <c r="U130" t="str">
        <f t="shared" si="23"/>
        <v/>
      </c>
      <c r="V130" t="str">
        <f t="shared" si="27"/>
        <v/>
      </c>
      <c r="W130" t="str">
        <f t="shared" si="28"/>
        <v/>
      </c>
      <c r="X130" t="str">
        <f t="shared" si="29"/>
        <v/>
      </c>
    </row>
    <row r="131" spans="1:24" x14ac:dyDescent="0.2">
      <c r="A131" s="30">
        <v>83</v>
      </c>
      <c r="B131" s="70" t="s">
        <v>27</v>
      </c>
      <c r="C131" s="32">
        <v>43635</v>
      </c>
      <c r="D131" s="2">
        <v>200</v>
      </c>
      <c r="E131">
        <v>0.127</v>
      </c>
      <c r="F131" s="70">
        <v>0.127</v>
      </c>
      <c r="G131" s="17">
        <f t="shared" si="21"/>
        <v>0</v>
      </c>
      <c r="H131" s="31">
        <f t="shared" si="22"/>
        <v>0</v>
      </c>
      <c r="I131" s="70">
        <v>0.98750000000000004</v>
      </c>
      <c r="J131" s="70">
        <v>0.98640000000000005</v>
      </c>
      <c r="K131" s="35">
        <f t="shared" si="18"/>
        <v>1.0999999999999899E-3</v>
      </c>
      <c r="L131" s="35">
        <f t="shared" si="19"/>
        <v>5.4999999999999494</v>
      </c>
      <c r="M131" s="51">
        <f t="shared" si="20"/>
        <v>-5.4999999999999494</v>
      </c>
      <c r="O131" s="72" t="s">
        <v>27</v>
      </c>
      <c r="P131" s="64">
        <f>H131</f>
        <v>0</v>
      </c>
      <c r="Q131" s="63">
        <f>L131</f>
        <v>5.4999999999999494</v>
      </c>
      <c r="R131" s="63">
        <f>M131</f>
        <v>-5.4999999999999494</v>
      </c>
      <c r="S131" t="str">
        <f t="shared" si="25"/>
        <v/>
      </c>
      <c r="T131" t="str">
        <f t="shared" si="26"/>
        <v/>
      </c>
      <c r="U131" t="str">
        <f t="shared" si="23"/>
        <v/>
      </c>
      <c r="V131" t="str">
        <f t="shared" si="27"/>
        <v/>
      </c>
      <c r="X131" t="str">
        <f t="shared" si="29"/>
        <v/>
      </c>
    </row>
    <row r="132" spans="1:24" x14ac:dyDescent="0.2">
      <c r="A132" s="30">
        <v>83</v>
      </c>
      <c r="B132" s="70" t="s">
        <v>211</v>
      </c>
      <c r="C132" s="32">
        <v>43635</v>
      </c>
      <c r="D132" s="2">
        <v>200</v>
      </c>
      <c r="E132">
        <v>0.1249</v>
      </c>
      <c r="F132" s="70">
        <v>0.1305</v>
      </c>
      <c r="G132" s="17">
        <f t="shared" si="21"/>
        <v>5.6000000000000077E-3</v>
      </c>
      <c r="H132" s="31">
        <f t="shared" si="22"/>
        <v>28.000000000000036</v>
      </c>
      <c r="I132" s="70">
        <v>1.0347</v>
      </c>
      <c r="J132" s="70">
        <v>1.0328999999999999</v>
      </c>
      <c r="K132" s="35">
        <f t="shared" si="18"/>
        <v>1.8000000000000238E-3</v>
      </c>
      <c r="L132" s="35">
        <f t="shared" si="19"/>
        <v>9.000000000000119</v>
      </c>
      <c r="M132" s="51">
        <f t="shared" si="20"/>
        <v>18.999999999999915</v>
      </c>
      <c r="N132" t="str">
        <f>B132</f>
        <v>58A</v>
      </c>
      <c r="P132" s="64">
        <f>AVERAGE(H132:H133)</f>
        <v>27.250000000000014</v>
      </c>
      <c r="Q132" s="63">
        <f>AVERAGE(L132:L133)</f>
        <v>9.7500000000000355</v>
      </c>
      <c r="R132" s="63">
        <f>AVERAGE(M132:M133)</f>
        <v>17.499999999999979</v>
      </c>
      <c r="S132" t="str">
        <f t="shared" si="25"/>
        <v>WMS-</v>
      </c>
      <c r="T132" t="str">
        <f t="shared" si="26"/>
        <v>58</v>
      </c>
      <c r="U132" t="str">
        <f t="shared" si="23"/>
        <v>WMS-58</v>
      </c>
      <c r="V132">
        <f t="shared" si="27"/>
        <v>27.250000000000014</v>
      </c>
      <c r="W132">
        <f t="shared" si="28"/>
        <v>9.7500000000000355</v>
      </c>
      <c r="X132">
        <f t="shared" si="29"/>
        <v>17.499999999999979</v>
      </c>
    </row>
    <row r="133" spans="1:24" x14ac:dyDescent="0.2">
      <c r="A133" s="30">
        <v>83</v>
      </c>
      <c r="B133" s="70" t="s">
        <v>212</v>
      </c>
      <c r="C133" s="32">
        <v>43635</v>
      </c>
      <c r="D133" s="2">
        <v>200</v>
      </c>
      <c r="E133">
        <v>0.12470000000000001</v>
      </c>
      <c r="F133" s="70">
        <v>0.13</v>
      </c>
      <c r="G133" s="17">
        <f t="shared" si="21"/>
        <v>5.2999999999999992E-3</v>
      </c>
      <c r="H133" s="31">
        <f t="shared" si="22"/>
        <v>26.499999999999993</v>
      </c>
      <c r="I133" s="70">
        <v>1.0290999999999999</v>
      </c>
      <c r="J133" s="70">
        <v>1.0269999999999999</v>
      </c>
      <c r="K133" s="35">
        <f t="shared" si="18"/>
        <v>2.0999999999999908E-3</v>
      </c>
      <c r="L133" s="35">
        <f t="shared" si="19"/>
        <v>10.499999999999954</v>
      </c>
      <c r="M133" s="51">
        <f t="shared" si="20"/>
        <v>16.000000000000039</v>
      </c>
      <c r="P133" s="57"/>
      <c r="S133" t="str">
        <f t="shared" si="25"/>
        <v/>
      </c>
      <c r="T133" t="str">
        <f t="shared" si="26"/>
        <v/>
      </c>
      <c r="U133" t="str">
        <f t="shared" si="23"/>
        <v/>
      </c>
      <c r="V133" t="str">
        <f t="shared" si="27"/>
        <v/>
      </c>
      <c r="W133" t="str">
        <f t="shared" si="28"/>
        <v/>
      </c>
      <c r="X133" t="str">
        <f t="shared" si="29"/>
        <v/>
      </c>
    </row>
    <row r="134" spans="1:24" x14ac:dyDescent="0.2">
      <c r="A134" s="30">
        <v>83</v>
      </c>
      <c r="B134" s="29" t="s">
        <v>178</v>
      </c>
      <c r="C134" s="32">
        <v>43676</v>
      </c>
      <c r="D134" s="2">
        <v>200</v>
      </c>
      <c r="E134">
        <v>0.12790000000000001</v>
      </c>
      <c r="F134" s="30">
        <v>0.1341</v>
      </c>
      <c r="G134" s="17">
        <f t="shared" ref="G134:G140" si="30">F134-E134</f>
        <v>6.1999999999999833E-3</v>
      </c>
      <c r="H134" s="31">
        <f t="shared" ref="H134:H140" si="31">(G134*1000)/(D134/1000)</f>
        <v>30.999999999999915</v>
      </c>
      <c r="I134" s="30">
        <v>1.1132</v>
      </c>
      <c r="J134" s="69">
        <v>1.1108</v>
      </c>
      <c r="K134" s="35">
        <f t="shared" ref="K134:K140" si="32">I134-J134</f>
        <v>2.3999999999999577E-3</v>
      </c>
      <c r="L134" s="35">
        <f t="shared" ref="L134:L140" si="33">(K134*1000)/(D134/1000)</f>
        <v>11.999999999999789</v>
      </c>
      <c r="M134" s="51">
        <f t="shared" ref="M134:M140" si="34">H134-L134</f>
        <v>19.000000000000128</v>
      </c>
      <c r="N134" t="str">
        <f>B134</f>
        <v>59A</v>
      </c>
      <c r="P134" s="64">
        <f>AVERAGE(H134:H135)</f>
        <v>29.499999999999943</v>
      </c>
      <c r="Q134" s="63">
        <f>AVERAGE(L134:L135)</f>
        <v>12.499999999999734</v>
      </c>
      <c r="R134" s="63">
        <f>AVERAGE(M134:M135)</f>
        <v>17.00000000000021</v>
      </c>
      <c r="S134" t="str">
        <f t="shared" si="25"/>
        <v>WMS-</v>
      </c>
      <c r="T134" t="str">
        <f t="shared" si="26"/>
        <v>59</v>
      </c>
      <c r="U134" t="str">
        <f t="shared" si="23"/>
        <v>WMS-59</v>
      </c>
      <c r="V134">
        <f t="shared" si="27"/>
        <v>29.499999999999943</v>
      </c>
      <c r="W134">
        <f t="shared" si="28"/>
        <v>12.499999999999734</v>
      </c>
      <c r="X134">
        <f t="shared" si="29"/>
        <v>17.00000000000021</v>
      </c>
    </row>
    <row r="135" spans="1:24" x14ac:dyDescent="0.2">
      <c r="A135" s="30">
        <v>83</v>
      </c>
      <c r="B135" s="29" t="s">
        <v>179</v>
      </c>
      <c r="C135" s="32">
        <v>43676</v>
      </c>
      <c r="D135" s="2">
        <v>200</v>
      </c>
      <c r="E135">
        <v>0.1278</v>
      </c>
      <c r="F135" s="30">
        <v>0.13339999999999999</v>
      </c>
      <c r="G135" s="17">
        <f t="shared" si="30"/>
        <v>5.5999999999999939E-3</v>
      </c>
      <c r="H135" s="31">
        <f t="shared" si="31"/>
        <v>27.999999999999972</v>
      </c>
      <c r="I135" s="30">
        <v>1.1635</v>
      </c>
      <c r="J135" s="69">
        <v>1.1609</v>
      </c>
      <c r="K135" s="35">
        <f t="shared" si="32"/>
        <v>2.5999999999999357E-3</v>
      </c>
      <c r="L135" s="35">
        <f t="shared" si="33"/>
        <v>12.999999999999678</v>
      </c>
      <c r="M135" s="51">
        <f t="shared" si="34"/>
        <v>15.000000000000293</v>
      </c>
      <c r="P135" s="57"/>
      <c r="S135" t="str">
        <f t="shared" si="25"/>
        <v/>
      </c>
      <c r="T135" t="str">
        <f t="shared" si="26"/>
        <v/>
      </c>
      <c r="U135" t="str">
        <f t="shared" si="23"/>
        <v/>
      </c>
      <c r="V135" t="str">
        <f t="shared" si="27"/>
        <v/>
      </c>
      <c r="W135" t="str">
        <f t="shared" si="28"/>
        <v/>
      </c>
      <c r="X135" t="str">
        <f t="shared" si="29"/>
        <v/>
      </c>
    </row>
    <row r="136" spans="1:24" x14ac:dyDescent="0.2">
      <c r="A136" s="30">
        <v>83</v>
      </c>
      <c r="B136" s="29" t="s">
        <v>180</v>
      </c>
      <c r="C136" s="32">
        <v>43676</v>
      </c>
      <c r="D136" s="2">
        <v>200</v>
      </c>
      <c r="E136">
        <v>0.12859999999999999</v>
      </c>
      <c r="F136" s="30">
        <v>0.13420000000000001</v>
      </c>
      <c r="G136" s="17">
        <f t="shared" si="30"/>
        <v>5.6000000000000216E-3</v>
      </c>
      <c r="H136" s="31">
        <f t="shared" si="31"/>
        <v>28.000000000000107</v>
      </c>
      <c r="I136" s="30">
        <v>0.96499999999999997</v>
      </c>
      <c r="J136" s="69">
        <v>0.96250000000000002</v>
      </c>
      <c r="K136" s="35">
        <f t="shared" si="32"/>
        <v>2.4999999999999467E-3</v>
      </c>
      <c r="L136" s="35">
        <f t="shared" si="33"/>
        <v>12.499999999999734</v>
      </c>
      <c r="M136" s="51">
        <f t="shared" si="34"/>
        <v>15.500000000000373</v>
      </c>
      <c r="N136" t="str">
        <f>B136</f>
        <v>60A</v>
      </c>
      <c r="P136" s="64">
        <f>AVERAGE(H136:H137)</f>
        <v>28.000000000000039</v>
      </c>
      <c r="Q136" s="63">
        <f>AVERAGE(L136:L137)</f>
        <v>12.750000000000261</v>
      </c>
      <c r="R136" s="63">
        <f>AVERAGE(M136:M137)</f>
        <v>15.249999999999778</v>
      </c>
      <c r="S136" t="str">
        <f t="shared" si="25"/>
        <v>WMS-</v>
      </c>
      <c r="T136" t="str">
        <f t="shared" si="26"/>
        <v>60</v>
      </c>
      <c r="U136" t="str">
        <f t="shared" si="23"/>
        <v>WMS-60</v>
      </c>
      <c r="V136">
        <f t="shared" si="27"/>
        <v>28.000000000000039</v>
      </c>
      <c r="W136">
        <f t="shared" si="28"/>
        <v>12.750000000000261</v>
      </c>
      <c r="X136">
        <f t="shared" si="29"/>
        <v>15.249999999999778</v>
      </c>
    </row>
    <row r="137" spans="1:24" x14ac:dyDescent="0.2">
      <c r="A137" s="30">
        <v>83</v>
      </c>
      <c r="B137" s="29" t="s">
        <v>181</v>
      </c>
      <c r="C137" s="32">
        <v>43676</v>
      </c>
      <c r="D137" s="2">
        <v>200</v>
      </c>
      <c r="E137">
        <v>0.1283</v>
      </c>
      <c r="F137" s="30">
        <v>0.13389999999999999</v>
      </c>
      <c r="G137" s="17">
        <f t="shared" si="30"/>
        <v>5.5999999999999939E-3</v>
      </c>
      <c r="H137" s="31">
        <f t="shared" si="31"/>
        <v>27.999999999999972</v>
      </c>
      <c r="I137" s="30">
        <v>1.0696000000000001</v>
      </c>
      <c r="J137" s="69">
        <v>1.0669999999999999</v>
      </c>
      <c r="K137" s="35">
        <f t="shared" si="32"/>
        <v>2.6000000000001577E-3</v>
      </c>
      <c r="L137" s="35">
        <f t="shared" si="33"/>
        <v>13.000000000000789</v>
      </c>
      <c r="M137" s="51">
        <f t="shared" si="34"/>
        <v>14.999999999999183</v>
      </c>
      <c r="P137" s="57"/>
      <c r="S137" t="str">
        <f t="shared" si="25"/>
        <v/>
      </c>
      <c r="T137" t="str">
        <f t="shared" si="26"/>
        <v/>
      </c>
      <c r="U137" t="str">
        <f t="shared" si="23"/>
        <v/>
      </c>
      <c r="V137" t="str">
        <f t="shared" si="27"/>
        <v/>
      </c>
      <c r="W137" t="str">
        <f t="shared" si="28"/>
        <v/>
      </c>
      <c r="X137" t="str">
        <f t="shared" si="29"/>
        <v/>
      </c>
    </row>
    <row r="138" spans="1:24" x14ac:dyDescent="0.2">
      <c r="A138" s="30">
        <v>83</v>
      </c>
      <c r="B138" s="29" t="s">
        <v>182</v>
      </c>
      <c r="C138" s="32">
        <v>43676</v>
      </c>
      <c r="D138" s="2">
        <v>200</v>
      </c>
      <c r="E138">
        <v>0.1298</v>
      </c>
      <c r="F138" s="30">
        <v>0.1358</v>
      </c>
      <c r="G138" s="17">
        <f t="shared" si="30"/>
        <v>6.0000000000000053E-3</v>
      </c>
      <c r="H138" s="31">
        <f t="shared" si="31"/>
        <v>30.000000000000025</v>
      </c>
      <c r="I138" s="30">
        <v>1.05</v>
      </c>
      <c r="J138" s="69">
        <v>1.0474000000000001</v>
      </c>
      <c r="K138" s="35">
        <f t="shared" si="32"/>
        <v>2.5999999999999357E-3</v>
      </c>
      <c r="L138" s="35">
        <f t="shared" si="33"/>
        <v>12.999999999999678</v>
      </c>
      <c r="M138" s="51">
        <f t="shared" si="34"/>
        <v>17.000000000000348</v>
      </c>
      <c r="N138" t="str">
        <f>B138</f>
        <v>61A</v>
      </c>
      <c r="P138" s="64">
        <f>AVERAGE(H138:H139)</f>
        <v>28.499999999999982</v>
      </c>
      <c r="Q138" s="63">
        <f>AVERAGE(L138:L139)</f>
        <v>12.749999999999982</v>
      </c>
      <c r="R138" s="63">
        <f>AVERAGE(M138:M139)</f>
        <v>15.75</v>
      </c>
      <c r="S138" t="str">
        <f t="shared" si="25"/>
        <v>WMS-</v>
      </c>
      <c r="T138" t="str">
        <f t="shared" si="26"/>
        <v>61</v>
      </c>
      <c r="U138" t="str">
        <f t="shared" si="23"/>
        <v>WMS-61</v>
      </c>
      <c r="V138">
        <f t="shared" si="27"/>
        <v>28.499999999999982</v>
      </c>
      <c r="W138">
        <f t="shared" si="28"/>
        <v>12.749999999999982</v>
      </c>
      <c r="X138">
        <f t="shared" si="29"/>
        <v>15.75</v>
      </c>
    </row>
    <row r="139" spans="1:24" x14ac:dyDescent="0.2">
      <c r="A139" s="30">
        <v>83</v>
      </c>
      <c r="B139" s="29" t="s">
        <v>183</v>
      </c>
      <c r="C139" s="32">
        <v>43676</v>
      </c>
      <c r="D139" s="2">
        <v>200</v>
      </c>
      <c r="E139">
        <v>0.1265</v>
      </c>
      <c r="F139" s="30">
        <v>0.13189999999999999</v>
      </c>
      <c r="G139" s="17">
        <f t="shared" si="30"/>
        <v>5.3999999999999881E-3</v>
      </c>
      <c r="H139" s="31">
        <f t="shared" si="31"/>
        <v>26.99999999999994</v>
      </c>
      <c r="I139" s="30">
        <v>0.96840000000000004</v>
      </c>
      <c r="J139" s="69">
        <v>0.96589999999999998</v>
      </c>
      <c r="K139" s="35">
        <f t="shared" si="32"/>
        <v>2.5000000000000577E-3</v>
      </c>
      <c r="L139" s="35">
        <f t="shared" si="33"/>
        <v>12.500000000000288</v>
      </c>
      <c r="M139" s="51">
        <f t="shared" si="34"/>
        <v>14.499999999999652</v>
      </c>
      <c r="S139" t="str">
        <f t="shared" si="25"/>
        <v/>
      </c>
      <c r="T139" t="str">
        <f t="shared" si="26"/>
        <v/>
      </c>
      <c r="U139" t="str">
        <f t="shared" si="23"/>
        <v/>
      </c>
      <c r="V139" t="str">
        <f t="shared" si="27"/>
        <v/>
      </c>
      <c r="W139" t="str">
        <f t="shared" si="28"/>
        <v/>
      </c>
      <c r="X139" t="str">
        <f t="shared" si="29"/>
        <v/>
      </c>
    </row>
    <row r="140" spans="1:24" x14ac:dyDescent="0.2">
      <c r="A140" s="30">
        <v>83</v>
      </c>
      <c r="B140" s="29" t="s">
        <v>27</v>
      </c>
      <c r="C140" s="32">
        <v>43676</v>
      </c>
      <c r="D140" s="2">
        <v>200</v>
      </c>
      <c r="E140">
        <v>0.1278</v>
      </c>
      <c r="F140" s="30">
        <v>0.1275</v>
      </c>
      <c r="G140" s="17">
        <f t="shared" si="30"/>
        <v>-2.9999999999999472E-4</v>
      </c>
      <c r="H140" s="31">
        <f t="shared" si="31"/>
        <v>-1.4999999999999736</v>
      </c>
      <c r="I140" s="30">
        <v>0.9</v>
      </c>
      <c r="J140" s="69">
        <v>0.89890000000000003</v>
      </c>
      <c r="K140" s="35">
        <f t="shared" si="32"/>
        <v>1.0999999999999899E-3</v>
      </c>
      <c r="L140" s="35">
        <f t="shared" si="33"/>
        <v>5.4999999999999494</v>
      </c>
      <c r="M140" s="51">
        <f t="shared" si="34"/>
        <v>-6.9999999999999227</v>
      </c>
      <c r="O140" s="72" t="s">
        <v>27</v>
      </c>
      <c r="P140" s="64">
        <f>H140</f>
        <v>-1.4999999999999736</v>
      </c>
      <c r="Q140" s="63">
        <f>L140</f>
        <v>5.4999999999999494</v>
      </c>
      <c r="R140" s="63">
        <f>M140</f>
        <v>-6.9999999999999227</v>
      </c>
      <c r="S140" t="str">
        <f t="shared" si="25"/>
        <v/>
      </c>
      <c r="T140" t="str">
        <f t="shared" si="26"/>
        <v/>
      </c>
      <c r="U140" t="str">
        <f t="shared" si="23"/>
        <v/>
      </c>
      <c r="V140" t="str">
        <f t="shared" si="27"/>
        <v/>
      </c>
      <c r="X140" t="str">
        <f t="shared" si="29"/>
        <v/>
      </c>
    </row>
    <row r="141" spans="1:24" x14ac:dyDescent="0.2">
      <c r="A141" s="30">
        <v>83</v>
      </c>
      <c r="B141" s="29" t="s">
        <v>184</v>
      </c>
      <c r="C141" s="32">
        <v>43677</v>
      </c>
      <c r="D141" s="2">
        <v>200</v>
      </c>
      <c r="E141">
        <v>0.12640000000000001</v>
      </c>
      <c r="F141" s="30">
        <v>0.1321</v>
      </c>
      <c r="G141" s="17">
        <f t="shared" ref="G141:G145" si="35">F141-E141</f>
        <v>5.6999999999999829E-3</v>
      </c>
      <c r="H141" s="31">
        <f t="shared" ref="H141:H145" si="36">(G141*1000)/(D141/1000)</f>
        <v>28.499999999999915</v>
      </c>
      <c r="I141" s="30">
        <v>1.036</v>
      </c>
      <c r="J141" s="69">
        <v>1.0331999999999999</v>
      </c>
      <c r="K141" s="35">
        <f t="shared" ref="K141:K145" si="37">I141-J141</f>
        <v>2.8000000000001357E-3</v>
      </c>
      <c r="L141" s="35">
        <f t="shared" ref="L141:L145" si="38">(K141*1000)/(D141/1000)</f>
        <v>14.000000000000679</v>
      </c>
      <c r="M141" s="51">
        <f t="shared" ref="M141:M145" si="39">H141-L141</f>
        <v>14.499999999999236</v>
      </c>
      <c r="N141" t="str">
        <f>B141</f>
        <v>62A</v>
      </c>
      <c r="P141" s="64">
        <f>AVERAGE(H141:H142)</f>
        <v>27.499999999999954</v>
      </c>
      <c r="Q141" s="63">
        <f>AVERAGE(L141:L142)</f>
        <v>14.000000000000124</v>
      </c>
      <c r="R141" s="63">
        <f>AVERAGE(M141:M142)</f>
        <v>13.499999999999829</v>
      </c>
      <c r="S141" t="str">
        <f t="shared" si="25"/>
        <v>WMS-</v>
      </c>
      <c r="T141" t="str">
        <f t="shared" si="26"/>
        <v>62</v>
      </c>
      <c r="U141" t="str">
        <f t="shared" si="23"/>
        <v>WMS-62</v>
      </c>
      <c r="V141">
        <f t="shared" si="27"/>
        <v>27.499999999999954</v>
      </c>
      <c r="W141">
        <f t="shared" si="28"/>
        <v>14.000000000000124</v>
      </c>
      <c r="X141">
        <f t="shared" si="29"/>
        <v>13.499999999999829</v>
      </c>
    </row>
    <row r="142" spans="1:24" x14ac:dyDescent="0.2">
      <c r="A142" s="30">
        <v>83</v>
      </c>
      <c r="B142" s="29" t="s">
        <v>185</v>
      </c>
      <c r="C142" s="32">
        <v>43677</v>
      </c>
      <c r="D142" s="2">
        <v>200</v>
      </c>
      <c r="E142">
        <v>0.12609999999999999</v>
      </c>
      <c r="F142" s="30">
        <v>0.13139999999999999</v>
      </c>
      <c r="G142" s="17">
        <f t="shared" si="35"/>
        <v>5.2999999999999992E-3</v>
      </c>
      <c r="H142" s="31">
        <f t="shared" si="36"/>
        <v>26.499999999999993</v>
      </c>
      <c r="I142" s="30">
        <v>1.0389999999999999</v>
      </c>
      <c r="J142" s="69">
        <v>1.0362</v>
      </c>
      <c r="K142" s="35">
        <f t="shared" si="37"/>
        <v>2.7999999999999137E-3</v>
      </c>
      <c r="L142" s="35">
        <f t="shared" si="38"/>
        <v>13.999999999999568</v>
      </c>
      <c r="M142" s="51">
        <f t="shared" si="39"/>
        <v>12.500000000000425</v>
      </c>
      <c r="P142" s="57"/>
      <c r="S142" t="str">
        <f t="shared" si="25"/>
        <v/>
      </c>
      <c r="T142" t="str">
        <f t="shared" si="26"/>
        <v/>
      </c>
      <c r="U142" t="str">
        <f t="shared" si="23"/>
        <v/>
      </c>
      <c r="V142" t="str">
        <f t="shared" si="27"/>
        <v/>
      </c>
      <c r="W142" t="str">
        <f t="shared" si="28"/>
        <v/>
      </c>
      <c r="X142" t="str">
        <f t="shared" si="29"/>
        <v/>
      </c>
    </row>
    <row r="143" spans="1:24" x14ac:dyDescent="0.2">
      <c r="A143" s="30">
        <v>83</v>
      </c>
      <c r="B143" s="29" t="s">
        <v>186</v>
      </c>
      <c r="C143" s="32">
        <v>43677</v>
      </c>
      <c r="D143" s="2">
        <v>200</v>
      </c>
      <c r="E143">
        <v>0.12709999999999999</v>
      </c>
      <c r="F143" s="30">
        <v>0.13220000000000001</v>
      </c>
      <c r="G143" s="17">
        <f t="shared" si="35"/>
        <v>5.1000000000000212E-3</v>
      </c>
      <c r="H143" s="31">
        <f t="shared" si="36"/>
        <v>25.500000000000103</v>
      </c>
      <c r="I143" s="30">
        <v>1.0351999999999999</v>
      </c>
      <c r="J143" s="69">
        <v>1.0321</v>
      </c>
      <c r="K143" s="35">
        <f t="shared" si="37"/>
        <v>3.0999999999998806E-3</v>
      </c>
      <c r="L143" s="35">
        <f t="shared" si="38"/>
        <v>15.499999999999403</v>
      </c>
      <c r="M143" s="51">
        <f t="shared" si="39"/>
        <v>10.0000000000007</v>
      </c>
      <c r="N143" t="str">
        <f>B143</f>
        <v>63A</v>
      </c>
      <c r="P143" s="64">
        <f>AVERAGE(H143:H144)</f>
        <v>26.500000000000064</v>
      </c>
      <c r="Q143" s="63">
        <f>AVERAGE(L143:L144)</f>
        <v>14.500000000000068</v>
      </c>
      <c r="R143" s="63">
        <f>AVERAGE(M143:M144)</f>
        <v>11.999999999999996</v>
      </c>
      <c r="S143" t="str">
        <f t="shared" si="25"/>
        <v>WMS-</v>
      </c>
      <c r="T143" t="str">
        <f t="shared" si="26"/>
        <v>63</v>
      </c>
      <c r="U143" t="str">
        <f t="shared" si="23"/>
        <v>WMS-63</v>
      </c>
      <c r="V143">
        <f t="shared" si="27"/>
        <v>26.500000000000064</v>
      </c>
      <c r="W143">
        <f t="shared" si="28"/>
        <v>14.500000000000068</v>
      </c>
      <c r="X143">
        <f t="shared" si="29"/>
        <v>11.999999999999996</v>
      </c>
    </row>
    <row r="144" spans="1:24" x14ac:dyDescent="0.2">
      <c r="A144" s="30">
        <v>83</v>
      </c>
      <c r="B144" s="29" t="s">
        <v>187</v>
      </c>
      <c r="C144" s="32">
        <v>43677</v>
      </c>
      <c r="D144" s="2">
        <v>200</v>
      </c>
      <c r="E144">
        <v>0.12709999999999999</v>
      </c>
      <c r="F144" s="30">
        <v>0.1326</v>
      </c>
      <c r="G144" s="17">
        <f t="shared" si="35"/>
        <v>5.5000000000000049E-3</v>
      </c>
      <c r="H144" s="31">
        <f t="shared" si="36"/>
        <v>27.500000000000025</v>
      </c>
      <c r="I144" s="30">
        <v>1.0457000000000001</v>
      </c>
      <c r="J144" s="69">
        <v>1.0429999999999999</v>
      </c>
      <c r="K144" s="35">
        <f t="shared" si="37"/>
        <v>2.7000000000001467E-3</v>
      </c>
      <c r="L144" s="35">
        <f t="shared" si="38"/>
        <v>13.500000000000734</v>
      </c>
      <c r="M144" s="51">
        <f t="shared" si="39"/>
        <v>13.999999999999291</v>
      </c>
      <c r="P144" s="64"/>
      <c r="Q144" s="63"/>
      <c r="R144" s="63"/>
      <c r="S144" t="str">
        <f t="shared" si="25"/>
        <v/>
      </c>
      <c r="T144" t="str">
        <f t="shared" si="26"/>
        <v/>
      </c>
      <c r="U144" t="str">
        <f t="shared" si="23"/>
        <v/>
      </c>
      <c r="V144" t="str">
        <f t="shared" si="27"/>
        <v/>
      </c>
      <c r="W144" t="str">
        <f t="shared" si="28"/>
        <v/>
      </c>
      <c r="X144" t="str">
        <f t="shared" si="29"/>
        <v/>
      </c>
    </row>
    <row r="145" spans="1:24" x14ac:dyDescent="0.2">
      <c r="A145" s="30">
        <v>83</v>
      </c>
      <c r="B145" s="29" t="s">
        <v>27</v>
      </c>
      <c r="C145" s="32">
        <v>43677</v>
      </c>
      <c r="D145" s="2">
        <v>200</v>
      </c>
      <c r="E145">
        <v>0.126</v>
      </c>
      <c r="F145" s="30">
        <v>0.1255</v>
      </c>
      <c r="G145" s="17">
        <f t="shared" si="35"/>
        <v>-5.0000000000000044E-4</v>
      </c>
      <c r="H145" s="31">
        <f t="shared" si="36"/>
        <v>-2.5000000000000022</v>
      </c>
      <c r="I145" s="30">
        <v>1.2374000000000001</v>
      </c>
      <c r="J145" s="69">
        <v>1.2359</v>
      </c>
      <c r="K145" s="35">
        <f t="shared" si="37"/>
        <v>1.5000000000000568E-3</v>
      </c>
      <c r="L145" s="35">
        <f t="shared" si="38"/>
        <v>7.5000000000002842</v>
      </c>
      <c r="M145" s="51">
        <f t="shared" si="39"/>
        <v>-10.000000000000286</v>
      </c>
      <c r="O145" s="72" t="s">
        <v>27</v>
      </c>
      <c r="P145" s="64">
        <f>H145</f>
        <v>-2.5000000000000022</v>
      </c>
      <c r="Q145" s="63">
        <f>L145</f>
        <v>7.5000000000002842</v>
      </c>
      <c r="R145" s="63">
        <f>M145</f>
        <v>-10.000000000000286</v>
      </c>
      <c r="S145" t="str">
        <f t="shared" si="25"/>
        <v/>
      </c>
      <c r="T145" t="str">
        <f t="shared" si="26"/>
        <v/>
      </c>
      <c r="U145" t="str">
        <f t="shared" si="23"/>
        <v/>
      </c>
      <c r="V145" t="str">
        <f t="shared" si="27"/>
        <v/>
      </c>
      <c r="X145" t="str">
        <f t="shared" si="29"/>
        <v/>
      </c>
    </row>
    <row r="146" spans="1:24" x14ac:dyDescent="0.2">
      <c r="A146" s="30">
        <v>83</v>
      </c>
      <c r="B146" s="29" t="s">
        <v>188</v>
      </c>
      <c r="C146" s="32">
        <v>43678</v>
      </c>
      <c r="D146" s="2">
        <v>200</v>
      </c>
      <c r="E146">
        <v>0.12790000000000001</v>
      </c>
      <c r="F146" s="30">
        <v>0.1343</v>
      </c>
      <c r="G146" s="17">
        <f t="shared" ref="G146:G150" si="40">F146-E146</f>
        <v>6.399999999999989E-3</v>
      </c>
      <c r="H146" s="31">
        <f t="shared" ref="H146:H150" si="41">(G146*1000)/(D146/1000)</f>
        <v>31.999999999999943</v>
      </c>
      <c r="I146" s="30">
        <v>1.2208000000000001</v>
      </c>
      <c r="J146" s="69">
        <v>1.2181</v>
      </c>
      <c r="K146" s="35">
        <f t="shared" ref="K146:K150" si="42">I146-J146</f>
        <v>2.7000000000001467E-3</v>
      </c>
      <c r="L146" s="35">
        <f t="shared" ref="L146:L150" si="43">(K146*1000)/(D146/1000)</f>
        <v>13.500000000000734</v>
      </c>
      <c r="M146" s="51">
        <f t="shared" ref="M146:M150" si="44">H146-L146</f>
        <v>18.499999999999211</v>
      </c>
      <c r="N146" t="str">
        <f>B146</f>
        <v>64A</v>
      </c>
      <c r="P146" s="64">
        <f>AVERAGE(H146:H147)</f>
        <v>32.500000000000028</v>
      </c>
      <c r="Q146" s="63">
        <f>AVERAGE(L146:L147)</f>
        <v>13.25000000000076</v>
      </c>
      <c r="R146" s="63">
        <f>AVERAGE(M146:M147)</f>
        <v>19.249999999999268</v>
      </c>
      <c r="S146" t="str">
        <f t="shared" si="25"/>
        <v>WMS-</v>
      </c>
      <c r="T146" t="str">
        <f t="shared" si="26"/>
        <v>64</v>
      </c>
      <c r="U146" t="str">
        <f t="shared" si="23"/>
        <v>WMS-64</v>
      </c>
      <c r="V146">
        <f t="shared" si="27"/>
        <v>32.500000000000028</v>
      </c>
      <c r="W146">
        <f t="shared" si="28"/>
        <v>13.25000000000076</v>
      </c>
      <c r="X146">
        <f t="shared" si="29"/>
        <v>19.249999999999268</v>
      </c>
    </row>
    <row r="147" spans="1:24" x14ac:dyDescent="0.2">
      <c r="A147" s="30">
        <v>83</v>
      </c>
      <c r="B147" s="29" t="s">
        <v>189</v>
      </c>
      <c r="C147" s="32">
        <v>43678</v>
      </c>
      <c r="D147" s="2">
        <v>200</v>
      </c>
      <c r="E147">
        <v>0.12709999999999999</v>
      </c>
      <c r="F147" s="30">
        <v>0.13370000000000001</v>
      </c>
      <c r="G147" s="17">
        <f t="shared" si="40"/>
        <v>6.6000000000000225E-3</v>
      </c>
      <c r="H147" s="31">
        <f t="shared" si="41"/>
        <v>33.000000000000114</v>
      </c>
      <c r="I147" s="30">
        <v>1.2188000000000001</v>
      </c>
      <c r="J147" s="69">
        <v>1.2161999999999999</v>
      </c>
      <c r="K147" s="35">
        <f t="shared" si="42"/>
        <v>2.6000000000001577E-3</v>
      </c>
      <c r="L147" s="35">
        <f t="shared" si="43"/>
        <v>13.000000000000789</v>
      </c>
      <c r="M147" s="51">
        <f t="shared" si="44"/>
        <v>19.999999999999325</v>
      </c>
      <c r="P147" s="57"/>
      <c r="S147" t="str">
        <f t="shared" si="25"/>
        <v/>
      </c>
      <c r="T147" t="str">
        <f t="shared" si="26"/>
        <v/>
      </c>
      <c r="U147" t="str">
        <f t="shared" si="23"/>
        <v/>
      </c>
      <c r="V147" t="str">
        <f t="shared" si="27"/>
        <v/>
      </c>
      <c r="W147" t="str">
        <f t="shared" si="28"/>
        <v/>
      </c>
      <c r="X147" t="str">
        <f t="shared" si="29"/>
        <v/>
      </c>
    </row>
    <row r="148" spans="1:24" x14ac:dyDescent="0.2">
      <c r="A148" s="30">
        <v>83</v>
      </c>
      <c r="B148" s="29" t="s">
        <v>190</v>
      </c>
      <c r="C148" s="32">
        <v>43678</v>
      </c>
      <c r="D148" s="2">
        <v>200</v>
      </c>
      <c r="E148">
        <v>0.12670000000000001</v>
      </c>
      <c r="F148" s="30">
        <v>0.13250000000000001</v>
      </c>
      <c r="G148" s="17">
        <f t="shared" si="40"/>
        <v>5.7999999999999996E-3</v>
      </c>
      <c r="H148" s="31">
        <f t="shared" si="41"/>
        <v>28.999999999999996</v>
      </c>
      <c r="I148" s="30">
        <v>1.2678</v>
      </c>
      <c r="J148" s="69">
        <v>1.2645</v>
      </c>
      <c r="K148" s="35">
        <f t="shared" si="42"/>
        <v>3.3000000000000806E-3</v>
      </c>
      <c r="L148" s="35">
        <f t="shared" si="43"/>
        <v>16.500000000000401</v>
      </c>
      <c r="M148" s="51">
        <f t="shared" si="44"/>
        <v>12.499999999999595</v>
      </c>
      <c r="N148" t="str">
        <f>B148</f>
        <v>65A</v>
      </c>
      <c r="P148" s="64">
        <f>AVERAGE(H148:H149)</f>
        <v>33.500000000000057</v>
      </c>
      <c r="Q148" s="63">
        <f>AVERAGE(L148:L149)</f>
        <v>16.499999999999847</v>
      </c>
      <c r="R148" s="63">
        <f>AVERAGE(M148:M149)</f>
        <v>17.000000000000206</v>
      </c>
      <c r="S148" t="str">
        <f t="shared" si="25"/>
        <v>WMS-</v>
      </c>
      <c r="T148" t="str">
        <f t="shared" si="26"/>
        <v>65</v>
      </c>
      <c r="U148" t="str">
        <f t="shared" si="23"/>
        <v>WMS-65</v>
      </c>
      <c r="V148">
        <f t="shared" si="27"/>
        <v>33.500000000000057</v>
      </c>
      <c r="W148">
        <f t="shared" si="28"/>
        <v>16.499999999999847</v>
      </c>
      <c r="X148">
        <f t="shared" si="29"/>
        <v>17.000000000000206</v>
      </c>
    </row>
    <row r="149" spans="1:24" x14ac:dyDescent="0.2">
      <c r="A149" s="30">
        <v>83</v>
      </c>
      <c r="B149" s="29" t="s">
        <v>191</v>
      </c>
      <c r="C149" s="32">
        <v>43678</v>
      </c>
      <c r="D149" s="2">
        <v>200</v>
      </c>
      <c r="E149">
        <v>0.12659999999999999</v>
      </c>
      <c r="F149" s="30">
        <v>0.13420000000000001</v>
      </c>
      <c r="G149" s="17">
        <f t="shared" si="40"/>
        <v>7.6000000000000234E-3</v>
      </c>
      <c r="H149" s="31">
        <f t="shared" si="41"/>
        <v>38.000000000000114</v>
      </c>
      <c r="I149" s="30">
        <v>1.1359999999999999</v>
      </c>
      <c r="J149" s="69">
        <v>1.1327</v>
      </c>
      <c r="K149" s="35">
        <f t="shared" si="42"/>
        <v>3.2999999999998586E-3</v>
      </c>
      <c r="L149" s="35">
        <f t="shared" si="43"/>
        <v>16.499999999999293</v>
      </c>
      <c r="M149" s="51">
        <f t="shared" si="44"/>
        <v>21.500000000000821</v>
      </c>
      <c r="S149" t="str">
        <f t="shared" si="25"/>
        <v/>
      </c>
      <c r="T149" t="str">
        <f t="shared" si="26"/>
        <v/>
      </c>
      <c r="U149" t="str">
        <f t="shared" si="23"/>
        <v/>
      </c>
      <c r="V149" t="str">
        <f t="shared" si="27"/>
        <v/>
      </c>
      <c r="W149" t="str">
        <f t="shared" si="28"/>
        <v/>
      </c>
      <c r="X149" t="str">
        <f t="shared" si="29"/>
        <v/>
      </c>
    </row>
    <row r="150" spans="1:24" x14ac:dyDescent="0.2">
      <c r="A150" s="30">
        <v>83</v>
      </c>
      <c r="B150" s="29" t="s">
        <v>27</v>
      </c>
      <c r="C150" s="32">
        <v>43678</v>
      </c>
      <c r="D150" s="2">
        <v>200</v>
      </c>
      <c r="E150">
        <v>0.126</v>
      </c>
      <c r="F150" s="30">
        <v>0.1255</v>
      </c>
      <c r="G150" s="17">
        <f t="shared" si="40"/>
        <v>-5.0000000000000044E-4</v>
      </c>
      <c r="H150" s="31">
        <f t="shared" si="41"/>
        <v>-2.5000000000000022</v>
      </c>
      <c r="I150" s="30">
        <v>1.1191</v>
      </c>
      <c r="J150" s="69">
        <v>1.1177999999999999</v>
      </c>
      <c r="K150" s="35">
        <f t="shared" si="42"/>
        <v>1.3000000000000789E-3</v>
      </c>
      <c r="L150" s="35">
        <f t="shared" si="43"/>
        <v>6.5000000000003944</v>
      </c>
      <c r="M150" s="51">
        <f t="shared" si="44"/>
        <v>-9.0000000000003961</v>
      </c>
      <c r="O150" s="72" t="s">
        <v>27</v>
      </c>
      <c r="P150" s="64">
        <f>H150</f>
        <v>-2.5000000000000022</v>
      </c>
      <c r="Q150" s="63">
        <f>L150</f>
        <v>6.5000000000003944</v>
      </c>
      <c r="R150" s="63">
        <f>M150</f>
        <v>-9.0000000000003961</v>
      </c>
      <c r="S150" t="str">
        <f t="shared" si="25"/>
        <v/>
      </c>
      <c r="T150" t="str">
        <f t="shared" si="26"/>
        <v/>
      </c>
      <c r="U150" t="str">
        <f t="shared" si="23"/>
        <v/>
      </c>
      <c r="V150" t="str">
        <f t="shared" si="27"/>
        <v/>
      </c>
      <c r="X150" t="str">
        <f t="shared" si="29"/>
        <v/>
      </c>
    </row>
    <row r="151" spans="1:24" x14ac:dyDescent="0.2">
      <c r="A151" s="30">
        <v>83</v>
      </c>
      <c r="B151" s="29" t="s">
        <v>192</v>
      </c>
      <c r="C151" s="32">
        <v>43679</v>
      </c>
      <c r="D151" s="2">
        <v>200</v>
      </c>
      <c r="E151">
        <v>0.12659999999999999</v>
      </c>
      <c r="F151" s="30">
        <v>0.1331</v>
      </c>
      <c r="G151" s="17">
        <f t="shared" ref="G151:G157" si="45">F151-E151</f>
        <v>6.5000000000000058E-3</v>
      </c>
      <c r="H151" s="31">
        <f t="shared" ref="H151:H157" si="46">(G151*1000)/(D151/1000)</f>
        <v>32.500000000000021</v>
      </c>
      <c r="I151" s="30">
        <v>0.93820000000000003</v>
      </c>
      <c r="J151" s="69">
        <v>0.9355</v>
      </c>
      <c r="K151" s="35">
        <f t="shared" ref="K151:K157" si="47">I151-J151</f>
        <v>2.7000000000000357E-3</v>
      </c>
      <c r="L151" s="35">
        <f t="shared" ref="L151:L157" si="48">(K151*1000)/(D151/1000)</f>
        <v>13.500000000000178</v>
      </c>
      <c r="M151" s="51">
        <f t="shared" ref="M151:M157" si="49">H151-L151</f>
        <v>18.999999999999844</v>
      </c>
      <c r="N151" t="str">
        <f>B151</f>
        <v>66A</v>
      </c>
      <c r="P151" s="64">
        <f>AVERAGE(H151:H152)</f>
        <v>32.500000000000021</v>
      </c>
      <c r="Q151" s="63">
        <f>AVERAGE(L151:L152)</f>
        <v>13.250000000000206</v>
      </c>
      <c r="R151" s="63">
        <f>AVERAGE(M151:M152)</f>
        <v>19.249999999999815</v>
      </c>
      <c r="S151" t="str">
        <f t="shared" si="25"/>
        <v>WMS-</v>
      </c>
      <c r="T151" t="str">
        <f t="shared" si="26"/>
        <v>66</v>
      </c>
      <c r="U151" t="str">
        <f t="shared" si="23"/>
        <v>WMS-66</v>
      </c>
      <c r="V151">
        <f t="shared" si="27"/>
        <v>32.500000000000021</v>
      </c>
      <c r="W151">
        <f t="shared" si="28"/>
        <v>13.250000000000206</v>
      </c>
      <c r="X151">
        <f t="shared" si="29"/>
        <v>19.249999999999815</v>
      </c>
    </row>
    <row r="152" spans="1:24" x14ac:dyDescent="0.2">
      <c r="A152" s="30">
        <v>83</v>
      </c>
      <c r="B152" s="29" t="s">
        <v>193</v>
      </c>
      <c r="C152" s="32">
        <v>43679</v>
      </c>
      <c r="D152" s="2">
        <v>200</v>
      </c>
      <c r="E152">
        <v>0.12670000000000001</v>
      </c>
      <c r="F152" s="30">
        <v>0.13320000000000001</v>
      </c>
      <c r="G152" s="17">
        <f t="shared" si="45"/>
        <v>6.5000000000000058E-3</v>
      </c>
      <c r="H152" s="31">
        <f t="shared" si="46"/>
        <v>32.500000000000021</v>
      </c>
      <c r="I152" s="30">
        <v>0.95940000000000003</v>
      </c>
      <c r="J152" s="69">
        <v>0.95679999999999998</v>
      </c>
      <c r="K152" s="35">
        <f t="shared" si="47"/>
        <v>2.6000000000000467E-3</v>
      </c>
      <c r="L152" s="35">
        <f t="shared" si="48"/>
        <v>13.000000000000233</v>
      </c>
      <c r="M152" s="51">
        <f t="shared" si="49"/>
        <v>19.499999999999787</v>
      </c>
      <c r="P152" s="57"/>
      <c r="S152" t="str">
        <f t="shared" si="25"/>
        <v/>
      </c>
      <c r="T152" t="str">
        <f t="shared" si="26"/>
        <v/>
      </c>
      <c r="U152" t="str">
        <f t="shared" si="23"/>
        <v/>
      </c>
      <c r="V152" t="str">
        <f t="shared" si="27"/>
        <v/>
      </c>
      <c r="W152" t="str">
        <f t="shared" si="28"/>
        <v/>
      </c>
      <c r="X152" t="str">
        <f t="shared" si="29"/>
        <v/>
      </c>
    </row>
    <row r="153" spans="1:24" x14ac:dyDescent="0.2">
      <c r="A153" s="30">
        <v>83</v>
      </c>
      <c r="B153" s="29" t="s">
        <v>194</v>
      </c>
      <c r="C153" s="32">
        <v>43679</v>
      </c>
      <c r="D153" s="2">
        <v>200</v>
      </c>
      <c r="E153">
        <v>0.127</v>
      </c>
      <c r="F153" s="30">
        <v>0.13370000000000001</v>
      </c>
      <c r="G153" s="17">
        <f t="shared" si="45"/>
        <v>6.7000000000000115E-3</v>
      </c>
      <c r="H153" s="31">
        <f t="shared" si="46"/>
        <v>33.500000000000057</v>
      </c>
      <c r="I153" s="30">
        <v>0.98329999999999995</v>
      </c>
      <c r="J153" s="69">
        <v>0.98080000000000001</v>
      </c>
      <c r="K153" s="35">
        <f t="shared" si="47"/>
        <v>2.4999999999999467E-3</v>
      </c>
      <c r="L153" s="35">
        <f t="shared" si="48"/>
        <v>12.499999999999734</v>
      </c>
      <c r="M153" s="51">
        <f t="shared" si="49"/>
        <v>21.000000000000323</v>
      </c>
      <c r="N153" t="str">
        <f>B153</f>
        <v>67A</v>
      </c>
      <c r="P153" s="64">
        <f>AVERAGE(H153:H154)</f>
        <v>32.250000000000057</v>
      </c>
      <c r="Q153" s="63">
        <f>AVERAGE(L153:L154)</f>
        <v>13.000000000000234</v>
      </c>
      <c r="R153" s="63">
        <f>AVERAGE(M153:M154)</f>
        <v>19.249999999999822</v>
      </c>
      <c r="S153" t="str">
        <f t="shared" si="25"/>
        <v>WMS-</v>
      </c>
      <c r="T153" t="str">
        <f t="shared" si="26"/>
        <v>67</v>
      </c>
      <c r="U153" t="str">
        <f t="shared" si="23"/>
        <v>WMS-67</v>
      </c>
      <c r="V153">
        <f t="shared" si="27"/>
        <v>32.250000000000057</v>
      </c>
      <c r="W153">
        <f t="shared" si="28"/>
        <v>13.000000000000234</v>
      </c>
      <c r="X153">
        <f t="shared" si="29"/>
        <v>19.249999999999822</v>
      </c>
    </row>
    <row r="154" spans="1:24" x14ac:dyDescent="0.2">
      <c r="A154" s="30">
        <v>83</v>
      </c>
      <c r="B154" s="29" t="s">
        <v>195</v>
      </c>
      <c r="C154" s="32">
        <v>43679</v>
      </c>
      <c r="D154" s="2">
        <v>200</v>
      </c>
      <c r="E154">
        <v>0.12889999999999999</v>
      </c>
      <c r="F154" s="30">
        <v>0.1351</v>
      </c>
      <c r="G154" s="17">
        <f t="shared" si="45"/>
        <v>6.2000000000000111E-3</v>
      </c>
      <c r="H154" s="31">
        <f t="shared" si="46"/>
        <v>31.000000000000053</v>
      </c>
      <c r="I154" s="30">
        <v>1.0071000000000001</v>
      </c>
      <c r="J154" s="69">
        <v>1.0044</v>
      </c>
      <c r="K154" s="35">
        <f t="shared" si="47"/>
        <v>2.7000000000001467E-3</v>
      </c>
      <c r="L154" s="35">
        <f t="shared" si="48"/>
        <v>13.500000000000734</v>
      </c>
      <c r="M154" s="51">
        <f t="shared" si="49"/>
        <v>17.499999999999318</v>
      </c>
      <c r="P154" s="57"/>
      <c r="S154" t="str">
        <f t="shared" si="25"/>
        <v/>
      </c>
      <c r="T154" t="str">
        <f t="shared" si="26"/>
        <v/>
      </c>
      <c r="U154" t="str">
        <f t="shared" si="23"/>
        <v/>
      </c>
      <c r="V154" t="str">
        <f t="shared" si="27"/>
        <v/>
      </c>
      <c r="W154" t="str">
        <f t="shared" si="28"/>
        <v/>
      </c>
      <c r="X154" t="str">
        <f t="shared" si="29"/>
        <v/>
      </c>
    </row>
    <row r="155" spans="1:24" x14ac:dyDescent="0.2">
      <c r="A155" s="30">
        <v>83</v>
      </c>
      <c r="B155" s="29" t="s">
        <v>196</v>
      </c>
      <c r="C155" s="32">
        <v>43679</v>
      </c>
      <c r="D155" s="2">
        <v>200</v>
      </c>
      <c r="E155">
        <v>0.12559999999999999</v>
      </c>
      <c r="F155" s="30">
        <v>0.1313</v>
      </c>
      <c r="G155" s="17">
        <f t="shared" si="45"/>
        <v>5.7000000000000106E-3</v>
      </c>
      <c r="H155" s="31">
        <f t="shared" si="46"/>
        <v>28.500000000000053</v>
      </c>
      <c r="I155" s="30">
        <v>1.0673999999999999</v>
      </c>
      <c r="J155" s="69">
        <v>1.0643</v>
      </c>
      <c r="K155" s="35">
        <f t="shared" si="47"/>
        <v>3.0999999999998806E-3</v>
      </c>
      <c r="L155" s="35">
        <f t="shared" si="48"/>
        <v>15.499999999999403</v>
      </c>
      <c r="M155" s="51">
        <f t="shared" si="49"/>
        <v>13.00000000000065</v>
      </c>
      <c r="N155" t="str">
        <f>B155</f>
        <v>68A</v>
      </c>
      <c r="P155" s="64">
        <f>AVERAGE(H155:H156)</f>
        <v>27.500000000000021</v>
      </c>
      <c r="Q155" s="63">
        <f>AVERAGE(L155:L156)</f>
        <v>14.749999999999485</v>
      </c>
      <c r="R155" s="63">
        <f>AVERAGE(M155:M156)</f>
        <v>12.750000000000536</v>
      </c>
      <c r="S155" t="str">
        <f t="shared" si="25"/>
        <v>WMS-</v>
      </c>
      <c r="T155" t="str">
        <f t="shared" si="26"/>
        <v>68</v>
      </c>
      <c r="U155" t="str">
        <f t="shared" si="23"/>
        <v>WMS-68</v>
      </c>
      <c r="V155">
        <f t="shared" si="27"/>
        <v>27.500000000000021</v>
      </c>
      <c r="W155">
        <f t="shared" si="28"/>
        <v>14.749999999999485</v>
      </c>
      <c r="X155">
        <f t="shared" si="29"/>
        <v>12.750000000000536</v>
      </c>
    </row>
    <row r="156" spans="1:24" x14ac:dyDescent="0.2">
      <c r="A156" s="30">
        <v>83</v>
      </c>
      <c r="B156" s="29" t="s">
        <v>197</v>
      </c>
      <c r="C156" s="32">
        <v>43679</v>
      </c>
      <c r="D156" s="2">
        <v>200</v>
      </c>
      <c r="E156">
        <v>0.12809999999999999</v>
      </c>
      <c r="F156" s="30">
        <v>0.13339999999999999</v>
      </c>
      <c r="G156" s="17">
        <f t="shared" si="45"/>
        <v>5.2999999999999992E-3</v>
      </c>
      <c r="H156" s="31">
        <f t="shared" si="46"/>
        <v>26.499999999999993</v>
      </c>
      <c r="I156" s="30">
        <v>1.0753999999999999</v>
      </c>
      <c r="J156" s="69">
        <v>1.0726</v>
      </c>
      <c r="K156" s="35">
        <f t="shared" si="47"/>
        <v>2.7999999999999137E-3</v>
      </c>
      <c r="L156" s="35">
        <f t="shared" si="48"/>
        <v>13.999999999999568</v>
      </c>
      <c r="M156" s="51">
        <f t="shared" si="49"/>
        <v>12.500000000000425</v>
      </c>
      <c r="S156" t="str">
        <f t="shared" si="25"/>
        <v/>
      </c>
      <c r="T156" t="str">
        <f t="shared" si="26"/>
        <v/>
      </c>
      <c r="U156" t="str">
        <f t="shared" si="23"/>
        <v/>
      </c>
      <c r="V156" t="str">
        <f t="shared" si="27"/>
        <v/>
      </c>
      <c r="W156" t="str">
        <f t="shared" si="28"/>
        <v/>
      </c>
      <c r="X156" t="str">
        <f t="shared" si="29"/>
        <v/>
      </c>
    </row>
    <row r="157" spans="1:24" x14ac:dyDescent="0.2">
      <c r="A157" s="30">
        <v>83</v>
      </c>
      <c r="B157" s="29" t="s">
        <v>27</v>
      </c>
      <c r="C157" s="32">
        <v>43679</v>
      </c>
      <c r="D157" s="2">
        <v>200</v>
      </c>
      <c r="E157">
        <v>0.1273</v>
      </c>
      <c r="F157" s="30">
        <v>0.12670000000000001</v>
      </c>
      <c r="G157" s="17">
        <f t="shared" si="45"/>
        <v>-5.9999999999998943E-4</v>
      </c>
      <c r="H157" s="31">
        <f t="shared" si="46"/>
        <v>-2.9999999999999472</v>
      </c>
      <c r="I157" s="30">
        <v>1.0983000000000001</v>
      </c>
      <c r="J157" s="69">
        <v>1.0971</v>
      </c>
      <c r="K157" s="35">
        <f t="shared" si="47"/>
        <v>1.2000000000000899E-3</v>
      </c>
      <c r="L157" s="35">
        <f t="shared" si="48"/>
        <v>6.0000000000004494</v>
      </c>
      <c r="M157" s="51">
        <f t="shared" si="49"/>
        <v>-9.0000000000003961</v>
      </c>
      <c r="O157" s="72" t="s">
        <v>27</v>
      </c>
      <c r="P157" s="64">
        <f>H157</f>
        <v>-2.9999999999999472</v>
      </c>
      <c r="Q157" s="63">
        <f>L157</f>
        <v>6.0000000000004494</v>
      </c>
      <c r="R157" s="63">
        <f>M157</f>
        <v>-9.0000000000003961</v>
      </c>
      <c r="S157" t="str">
        <f t="shared" si="25"/>
        <v/>
      </c>
      <c r="T157" t="str">
        <f t="shared" si="26"/>
        <v/>
      </c>
      <c r="U157" t="str">
        <f t="shared" si="23"/>
        <v/>
      </c>
      <c r="V157" t="str">
        <f t="shared" si="27"/>
        <v/>
      </c>
      <c r="X157" t="str">
        <f t="shared" si="29"/>
        <v/>
      </c>
    </row>
    <row r="158" spans="1:24" x14ac:dyDescent="0.2">
      <c r="A158" s="30">
        <v>83</v>
      </c>
      <c r="B158" s="29" t="s">
        <v>198</v>
      </c>
      <c r="C158" s="32">
        <v>43679</v>
      </c>
      <c r="D158" s="2">
        <v>200</v>
      </c>
      <c r="E158">
        <v>0.1288</v>
      </c>
      <c r="F158" s="30">
        <v>0.1353</v>
      </c>
      <c r="G158" s="17">
        <f t="shared" ref="G158:G164" si="50">F158-E158</f>
        <v>6.5000000000000058E-3</v>
      </c>
      <c r="H158" s="31">
        <f t="shared" ref="H158:H164" si="51">(G158*1000)/(D158/1000)</f>
        <v>32.500000000000021</v>
      </c>
      <c r="I158" s="30">
        <v>1.1116999999999999</v>
      </c>
      <c r="J158" s="69">
        <v>1.1089</v>
      </c>
      <c r="K158" s="35">
        <f t="shared" ref="K158:K164" si="52">I158-J158</f>
        <v>2.7999999999999137E-3</v>
      </c>
      <c r="L158" s="35">
        <f t="shared" ref="L158:L164" si="53">(K158*1000)/(D158/1000)</f>
        <v>13.999999999999568</v>
      </c>
      <c r="M158" s="51">
        <f t="shared" ref="M158:M164" si="54">H158-L158</f>
        <v>18.500000000000455</v>
      </c>
      <c r="N158" t="str">
        <f>B158</f>
        <v>69A</v>
      </c>
      <c r="P158" s="64">
        <f>AVERAGE(H158:H159)</f>
        <v>33.000000000000043</v>
      </c>
      <c r="Q158" s="63">
        <f>AVERAGE(L158:L159)</f>
        <v>13.999999999999568</v>
      </c>
      <c r="R158" s="63">
        <f>AVERAGE(M158:M159)</f>
        <v>19.000000000000473</v>
      </c>
      <c r="S158" t="str">
        <f t="shared" si="25"/>
        <v>WMS-</v>
      </c>
      <c r="T158" t="str">
        <f t="shared" si="26"/>
        <v>69</v>
      </c>
      <c r="U158" t="str">
        <f t="shared" si="23"/>
        <v>WMS-69</v>
      </c>
      <c r="V158">
        <f t="shared" si="27"/>
        <v>33.000000000000043</v>
      </c>
      <c r="W158">
        <f t="shared" si="28"/>
        <v>13.999999999999568</v>
      </c>
      <c r="X158">
        <f t="shared" si="29"/>
        <v>19.000000000000473</v>
      </c>
    </row>
    <row r="159" spans="1:24" x14ac:dyDescent="0.2">
      <c r="A159" s="30">
        <v>83</v>
      </c>
      <c r="B159" s="29" t="s">
        <v>199</v>
      </c>
      <c r="C159" s="32">
        <v>43679</v>
      </c>
      <c r="D159" s="2">
        <v>200</v>
      </c>
      <c r="E159">
        <v>0.12759999999999999</v>
      </c>
      <c r="F159" s="30">
        <v>0.1343</v>
      </c>
      <c r="G159" s="17">
        <f t="shared" si="50"/>
        <v>6.7000000000000115E-3</v>
      </c>
      <c r="H159" s="31">
        <f t="shared" si="51"/>
        <v>33.500000000000057</v>
      </c>
      <c r="I159" s="30">
        <v>1.1536</v>
      </c>
      <c r="J159" s="69">
        <v>1.1508</v>
      </c>
      <c r="K159" s="35">
        <f t="shared" si="52"/>
        <v>2.7999999999999137E-3</v>
      </c>
      <c r="L159" s="35">
        <f t="shared" si="53"/>
        <v>13.999999999999568</v>
      </c>
      <c r="M159" s="51">
        <f t="shared" si="54"/>
        <v>19.50000000000049</v>
      </c>
      <c r="P159" s="57"/>
      <c r="S159" t="str">
        <f t="shared" si="25"/>
        <v/>
      </c>
      <c r="T159" t="str">
        <f t="shared" si="26"/>
        <v/>
      </c>
      <c r="U159" t="str">
        <f t="shared" si="23"/>
        <v/>
      </c>
      <c r="V159" t="str">
        <f t="shared" si="27"/>
        <v/>
      </c>
      <c r="W159" t="str">
        <f t="shared" si="28"/>
        <v/>
      </c>
      <c r="X159" t="str">
        <f t="shared" si="29"/>
        <v/>
      </c>
    </row>
    <row r="160" spans="1:24" x14ac:dyDescent="0.2">
      <c r="A160" s="30">
        <v>83</v>
      </c>
      <c r="B160" s="29" t="s">
        <v>200</v>
      </c>
      <c r="C160" s="32">
        <v>43679</v>
      </c>
      <c r="D160" s="2">
        <v>200</v>
      </c>
      <c r="E160">
        <v>0.1268</v>
      </c>
      <c r="F160" s="30">
        <v>0.13370000000000001</v>
      </c>
      <c r="G160" s="17">
        <f t="shared" si="50"/>
        <v>6.9000000000000172E-3</v>
      </c>
      <c r="H160" s="31">
        <f t="shared" si="51"/>
        <v>34.500000000000085</v>
      </c>
      <c r="I160" s="30">
        <v>1.0842000000000001</v>
      </c>
      <c r="J160" s="69">
        <v>1.0811999999999999</v>
      </c>
      <c r="K160" s="35">
        <f t="shared" si="52"/>
        <v>3.0000000000001137E-3</v>
      </c>
      <c r="L160" s="35">
        <f t="shared" si="53"/>
        <v>15.000000000000568</v>
      </c>
      <c r="M160" s="51">
        <f t="shared" si="54"/>
        <v>19.499999999999517</v>
      </c>
      <c r="N160" t="str">
        <f>B160</f>
        <v>70A</v>
      </c>
      <c r="P160" s="64">
        <f>AVERAGE(H160:H161)</f>
        <v>35.500000000000043</v>
      </c>
      <c r="Q160" s="63">
        <f>AVERAGE(L160:L161)</f>
        <v>15.249999999999986</v>
      </c>
      <c r="R160" s="63">
        <f>AVERAGE(M160:M161)</f>
        <v>20.250000000000057</v>
      </c>
      <c r="S160" t="str">
        <f t="shared" si="25"/>
        <v>WMS-</v>
      </c>
      <c r="T160" t="str">
        <f t="shared" si="26"/>
        <v>70</v>
      </c>
      <c r="U160" t="str">
        <f t="shared" si="23"/>
        <v>WMS-70</v>
      </c>
      <c r="V160">
        <f t="shared" si="27"/>
        <v>35.500000000000043</v>
      </c>
      <c r="W160">
        <f t="shared" si="28"/>
        <v>15.249999999999986</v>
      </c>
      <c r="X160">
        <f t="shared" si="29"/>
        <v>20.250000000000057</v>
      </c>
    </row>
    <row r="161" spans="1:24" x14ac:dyDescent="0.2">
      <c r="A161" s="30">
        <v>83</v>
      </c>
      <c r="B161" s="29" t="s">
        <v>201</v>
      </c>
      <c r="C161" s="32">
        <v>43679</v>
      </c>
      <c r="D161" s="2">
        <v>200</v>
      </c>
      <c r="E161">
        <v>0.126</v>
      </c>
      <c r="F161" s="30">
        <v>0.1333</v>
      </c>
      <c r="G161" s="17">
        <f t="shared" si="50"/>
        <v>7.3000000000000009E-3</v>
      </c>
      <c r="H161" s="31">
        <f t="shared" si="51"/>
        <v>36.5</v>
      </c>
      <c r="I161" s="30">
        <v>1.1292</v>
      </c>
      <c r="J161" s="69">
        <v>1.1261000000000001</v>
      </c>
      <c r="K161" s="35">
        <f t="shared" si="52"/>
        <v>3.0999999999998806E-3</v>
      </c>
      <c r="L161" s="35">
        <f t="shared" si="53"/>
        <v>15.499999999999403</v>
      </c>
      <c r="M161" s="51">
        <f t="shared" si="54"/>
        <v>21.000000000000597</v>
      </c>
      <c r="P161" s="57"/>
      <c r="S161" t="str">
        <f t="shared" si="25"/>
        <v/>
      </c>
      <c r="T161" t="str">
        <f t="shared" si="26"/>
        <v/>
      </c>
      <c r="U161" t="str">
        <f t="shared" si="23"/>
        <v/>
      </c>
      <c r="V161" t="str">
        <f t="shared" si="27"/>
        <v/>
      </c>
      <c r="W161" t="str">
        <f t="shared" si="28"/>
        <v/>
      </c>
      <c r="X161" t="str">
        <f t="shared" si="29"/>
        <v/>
      </c>
    </row>
    <row r="162" spans="1:24" x14ac:dyDescent="0.2">
      <c r="A162" s="30">
        <v>83</v>
      </c>
      <c r="B162" s="29" t="s">
        <v>202</v>
      </c>
      <c r="C162" s="32">
        <v>43679</v>
      </c>
      <c r="D162" s="2">
        <v>200</v>
      </c>
      <c r="E162">
        <v>0.12709999999999999</v>
      </c>
      <c r="F162" s="30">
        <v>0.1333</v>
      </c>
      <c r="G162" s="17">
        <f t="shared" si="50"/>
        <v>6.2000000000000111E-3</v>
      </c>
      <c r="H162" s="31">
        <f t="shared" si="51"/>
        <v>31.000000000000053</v>
      </c>
      <c r="I162" s="30">
        <v>1.0758000000000001</v>
      </c>
      <c r="J162" s="69">
        <v>1.0731999999999999</v>
      </c>
      <c r="K162" s="35">
        <f t="shared" si="52"/>
        <v>2.6000000000001577E-3</v>
      </c>
      <c r="L162" s="35">
        <f t="shared" si="53"/>
        <v>13.000000000000789</v>
      </c>
      <c r="M162" s="51">
        <f t="shared" si="54"/>
        <v>17.999999999999265</v>
      </c>
      <c r="N162" t="str">
        <f>B162</f>
        <v>71A</v>
      </c>
      <c r="P162" s="64">
        <f>AVERAGE(H162:H163)</f>
        <v>30.500000000000039</v>
      </c>
      <c r="Q162" s="63">
        <f>AVERAGE(L162:L163)</f>
        <v>12.500000000000288</v>
      </c>
      <c r="R162" s="63">
        <f>AVERAGE(M162:M163)</f>
        <v>17.999999999999751</v>
      </c>
      <c r="S162" t="str">
        <f t="shared" si="25"/>
        <v>WMS-</v>
      </c>
      <c r="T162" t="str">
        <f t="shared" si="26"/>
        <v>71</v>
      </c>
      <c r="U162" t="str">
        <f t="shared" si="23"/>
        <v>WMS-71</v>
      </c>
      <c r="V162">
        <f t="shared" si="27"/>
        <v>30.500000000000039</v>
      </c>
      <c r="W162">
        <f t="shared" si="28"/>
        <v>12.500000000000288</v>
      </c>
      <c r="X162">
        <f t="shared" si="29"/>
        <v>17.999999999999751</v>
      </c>
    </row>
    <row r="163" spans="1:24" x14ac:dyDescent="0.2">
      <c r="A163" s="30">
        <v>83</v>
      </c>
      <c r="B163" s="29" t="s">
        <v>203</v>
      </c>
      <c r="C163" s="32">
        <v>43679</v>
      </c>
      <c r="D163" s="2">
        <v>200</v>
      </c>
      <c r="E163">
        <v>0.127</v>
      </c>
      <c r="F163" s="30">
        <v>0.13300000000000001</v>
      </c>
      <c r="G163" s="17">
        <f t="shared" si="50"/>
        <v>6.0000000000000053E-3</v>
      </c>
      <c r="H163" s="31">
        <f t="shared" si="51"/>
        <v>30.000000000000025</v>
      </c>
      <c r="I163" s="30">
        <v>1.103</v>
      </c>
      <c r="J163" s="69">
        <v>1.1006</v>
      </c>
      <c r="K163" s="35">
        <f t="shared" si="52"/>
        <v>2.3999999999999577E-3</v>
      </c>
      <c r="L163" s="35">
        <f t="shared" si="53"/>
        <v>11.999999999999789</v>
      </c>
      <c r="M163" s="51">
        <f t="shared" si="54"/>
        <v>18.000000000000234</v>
      </c>
      <c r="S163" t="str">
        <f t="shared" si="25"/>
        <v/>
      </c>
      <c r="T163" t="str">
        <f t="shared" si="26"/>
        <v/>
      </c>
    </row>
    <row r="164" spans="1:24" x14ac:dyDescent="0.2">
      <c r="A164" s="30">
        <v>83</v>
      </c>
      <c r="B164" s="29" t="s">
        <v>27</v>
      </c>
      <c r="C164" s="32">
        <v>43679</v>
      </c>
      <c r="D164" s="2">
        <v>200</v>
      </c>
      <c r="E164">
        <v>0.12770000000000001</v>
      </c>
      <c r="F164" s="30">
        <v>0.12690000000000001</v>
      </c>
      <c r="G164" s="17">
        <f t="shared" si="50"/>
        <v>-7.9999999999999516E-4</v>
      </c>
      <c r="H164" s="31">
        <f t="shared" si="51"/>
        <v>-3.9999999999999756</v>
      </c>
      <c r="I164" s="30">
        <v>1.3964000000000001</v>
      </c>
      <c r="J164" s="69">
        <v>1.3942000000000001</v>
      </c>
      <c r="K164" s="35">
        <f t="shared" si="52"/>
        <v>2.1999999999999797E-3</v>
      </c>
      <c r="L164" s="35">
        <f t="shared" si="53"/>
        <v>10.999999999999899</v>
      </c>
      <c r="M164" s="51">
        <f t="shared" si="54"/>
        <v>-14.999999999999874</v>
      </c>
      <c r="O164" s="72" t="s">
        <v>27</v>
      </c>
      <c r="P164" s="64">
        <f>H164</f>
        <v>-3.9999999999999756</v>
      </c>
      <c r="Q164" s="63">
        <f>L164</f>
        <v>10.999999999999899</v>
      </c>
      <c r="R164" s="63">
        <f>M164</f>
        <v>-14.999999999999874</v>
      </c>
      <c r="S164" t="str">
        <f t="shared" si="25"/>
        <v/>
      </c>
      <c r="T164" t="str">
        <f t="shared" si="26"/>
        <v/>
      </c>
    </row>
  </sheetData>
  <sortState xmlns:xlrd2="http://schemas.microsoft.com/office/spreadsheetml/2017/richdata2" ref="W78:Y81">
    <sortCondition ref="W78:W81"/>
  </sortState>
  <mergeCells count="10">
    <mergeCell ref="A1:A2"/>
    <mergeCell ref="B1:B2"/>
    <mergeCell ref="C1:C2"/>
    <mergeCell ref="D1:D2"/>
    <mergeCell ref="I1:L1"/>
    <mergeCell ref="M1:M2"/>
    <mergeCell ref="E1:E2"/>
    <mergeCell ref="F1:F2"/>
    <mergeCell ref="G1:G2"/>
    <mergeCell ref="H1:H2"/>
  </mergeCells>
  <phoneticPr fontId="1"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B6CE-4048-4196-A868-A3197928B218}">
  <dimension ref="A1:E71"/>
  <sheetViews>
    <sheetView tabSelected="1" workbookViewId="0">
      <selection activeCell="L14" sqref="L14"/>
    </sheetView>
  </sheetViews>
  <sheetFormatPr defaultRowHeight="12.75" x14ac:dyDescent="0.2"/>
  <cols>
    <col min="5" max="5" width="11.5703125" customWidth="1"/>
  </cols>
  <sheetData>
    <row r="1" spans="1:5" x14ac:dyDescent="0.2">
      <c r="A1" s="68" t="s">
        <v>172</v>
      </c>
      <c r="B1" s="68" t="s">
        <v>122</v>
      </c>
      <c r="C1" s="68" t="s">
        <v>173</v>
      </c>
      <c r="D1" s="68" t="s">
        <v>174</v>
      </c>
      <c r="E1" s="72" t="s">
        <v>252</v>
      </c>
    </row>
    <row r="2" spans="1:5" x14ac:dyDescent="0.2">
      <c r="A2" t="s">
        <v>123</v>
      </c>
      <c r="B2" s="66">
        <v>32.500000000000021</v>
      </c>
      <c r="C2" s="67">
        <v>28.249999999999936</v>
      </c>
      <c r="D2" s="67">
        <v>4.2500000000000897</v>
      </c>
      <c r="E2" s="72" t="s">
        <v>253</v>
      </c>
    </row>
    <row r="3" spans="1:5" x14ac:dyDescent="0.2">
      <c r="A3" t="s">
        <v>124</v>
      </c>
      <c r="B3" s="66">
        <v>33.499999999999986</v>
      </c>
      <c r="C3" s="67">
        <v>28.749999999999954</v>
      </c>
      <c r="D3" s="67">
        <v>4.750000000000032</v>
      </c>
      <c r="E3" s="72" t="s">
        <v>253</v>
      </c>
    </row>
    <row r="4" spans="1:5" x14ac:dyDescent="0.2">
      <c r="A4" t="s">
        <v>136</v>
      </c>
      <c r="B4" s="66">
        <v>32.999999999999936</v>
      </c>
      <c r="C4" s="67">
        <v>27.000000000000043</v>
      </c>
      <c r="D4" s="67">
        <v>5.9999999999998943</v>
      </c>
      <c r="E4" s="72" t="s">
        <v>253</v>
      </c>
    </row>
    <row r="5" spans="1:5" x14ac:dyDescent="0.2">
      <c r="A5" t="s">
        <v>137</v>
      </c>
      <c r="B5" s="66">
        <v>36.500000000000036</v>
      </c>
      <c r="C5" s="67">
        <v>28.750000000000053</v>
      </c>
      <c r="D5" s="67">
        <v>7.7499999999999787</v>
      </c>
      <c r="E5" s="72" t="s">
        <v>253</v>
      </c>
    </row>
    <row r="6" spans="1:5" x14ac:dyDescent="0.2">
      <c r="A6" t="s">
        <v>138</v>
      </c>
      <c r="B6" s="66">
        <v>36.5</v>
      </c>
      <c r="C6" s="67">
        <v>29.249999999999694</v>
      </c>
      <c r="D6" s="67">
        <v>7.2500000000003118</v>
      </c>
      <c r="E6" s="72" t="s">
        <v>253</v>
      </c>
    </row>
    <row r="7" spans="1:5" x14ac:dyDescent="0.2">
      <c r="A7" t="s">
        <v>139</v>
      </c>
      <c r="B7" s="66">
        <v>35.500000000000043</v>
      </c>
      <c r="C7" s="67">
        <v>28.750000000000231</v>
      </c>
      <c r="D7" s="67">
        <v>6.7499999999998117</v>
      </c>
      <c r="E7" s="72" t="s">
        <v>253</v>
      </c>
    </row>
    <row r="8" spans="1:5" x14ac:dyDescent="0.2">
      <c r="A8" t="s">
        <v>140</v>
      </c>
      <c r="B8" s="66">
        <v>30.499999999999972</v>
      </c>
      <c r="C8" s="67">
        <v>22.749999999999993</v>
      </c>
      <c r="D8" s="67">
        <v>7.7499999999999787</v>
      </c>
      <c r="E8" s="72" t="s">
        <v>253</v>
      </c>
    </row>
    <row r="9" spans="1:5" x14ac:dyDescent="0.2">
      <c r="A9" t="s">
        <v>141</v>
      </c>
      <c r="B9" s="66">
        <v>28.499999999999986</v>
      </c>
      <c r="C9" s="67">
        <v>21.250000000000227</v>
      </c>
      <c r="D9" s="67">
        <v>7.2499999999997566</v>
      </c>
      <c r="E9" s="72" t="s">
        <v>253</v>
      </c>
    </row>
    <row r="10" spans="1:5" x14ac:dyDescent="0.2">
      <c r="A10" t="s">
        <v>142</v>
      </c>
      <c r="B10" s="66">
        <v>28.749999999999954</v>
      </c>
      <c r="C10" s="67">
        <v>21.749999999999893</v>
      </c>
      <c r="D10" s="67">
        <v>7.0000000000000622</v>
      </c>
      <c r="E10" s="72" t="s">
        <v>253</v>
      </c>
    </row>
    <row r="11" spans="1:5" x14ac:dyDescent="0.2">
      <c r="A11" t="s">
        <v>143</v>
      </c>
      <c r="B11" s="66">
        <v>48.249999999999957</v>
      </c>
      <c r="C11" s="67">
        <v>38.500000000000483</v>
      </c>
      <c r="D11" s="67">
        <v>9.7499999999994813</v>
      </c>
      <c r="E11" s="72" t="s">
        <v>253</v>
      </c>
    </row>
    <row r="12" spans="1:5" x14ac:dyDescent="0.2">
      <c r="A12" t="s">
        <v>144</v>
      </c>
      <c r="B12" s="66">
        <v>47.750000000000007</v>
      </c>
      <c r="C12" s="67">
        <v>37.500000000000028</v>
      </c>
      <c r="D12" s="67">
        <v>10.249999999999982</v>
      </c>
      <c r="E12" s="72" t="s">
        <v>253</v>
      </c>
    </row>
    <row r="13" spans="1:5" x14ac:dyDescent="0.2">
      <c r="A13" t="s">
        <v>145</v>
      </c>
      <c r="B13" s="66">
        <v>49.250000000000057</v>
      </c>
      <c r="C13" s="67">
        <v>39.75000000000054</v>
      </c>
      <c r="D13" s="67">
        <v>9.4999999999995097</v>
      </c>
      <c r="E13" s="72" t="s">
        <v>253</v>
      </c>
    </row>
    <row r="14" spans="1:5" x14ac:dyDescent="0.2">
      <c r="A14" t="s">
        <v>146</v>
      </c>
      <c r="B14" s="66">
        <v>48.5</v>
      </c>
      <c r="C14" s="67">
        <v>38.250000000000014</v>
      </c>
      <c r="D14" s="67">
        <v>10.249999999999982</v>
      </c>
      <c r="E14" s="72" t="s">
        <v>253</v>
      </c>
    </row>
    <row r="15" spans="1:5" x14ac:dyDescent="0.2">
      <c r="A15" t="s">
        <v>147</v>
      </c>
      <c r="B15" s="66">
        <v>45.750000000000028</v>
      </c>
      <c r="C15" s="67">
        <v>35.500000000000043</v>
      </c>
      <c r="D15" s="67">
        <v>10.249999999999982</v>
      </c>
      <c r="E15" s="72" t="s">
        <v>253</v>
      </c>
    </row>
    <row r="16" spans="1:5" x14ac:dyDescent="0.2">
      <c r="A16" t="s">
        <v>148</v>
      </c>
      <c r="B16" s="66">
        <v>43.5</v>
      </c>
      <c r="C16" s="67">
        <v>31.999999999999876</v>
      </c>
      <c r="D16" s="67">
        <v>11.500000000000121</v>
      </c>
      <c r="E16" s="72" t="s">
        <v>253</v>
      </c>
    </row>
    <row r="17" spans="1:5" x14ac:dyDescent="0.2">
      <c r="A17" t="s">
        <v>149</v>
      </c>
      <c r="B17" s="66">
        <v>40.749999999999957</v>
      </c>
      <c r="C17" s="67">
        <v>30.499999999999972</v>
      </c>
      <c r="D17" s="67">
        <v>10.249999999999982</v>
      </c>
      <c r="E17" s="72" t="s">
        <v>253</v>
      </c>
    </row>
    <row r="18" spans="1:5" x14ac:dyDescent="0.2">
      <c r="A18" t="s">
        <v>150</v>
      </c>
      <c r="B18" s="66">
        <v>45.499999999999986</v>
      </c>
      <c r="C18" s="67">
        <v>35.000000000000028</v>
      </c>
      <c r="D18" s="67">
        <v>10.499999999999954</v>
      </c>
      <c r="E18" s="72" t="s">
        <v>253</v>
      </c>
    </row>
    <row r="19" spans="1:5" x14ac:dyDescent="0.2">
      <c r="A19" t="s">
        <v>151</v>
      </c>
      <c r="B19" s="66">
        <v>41.99999999999995</v>
      </c>
      <c r="C19" s="67">
        <v>28.250000000000078</v>
      </c>
      <c r="D19" s="67">
        <v>13.749999999999872</v>
      </c>
      <c r="E19" s="72" t="s">
        <v>253</v>
      </c>
    </row>
    <row r="20" spans="1:5" x14ac:dyDescent="0.2">
      <c r="A20" t="s">
        <v>152</v>
      </c>
      <c r="B20" s="66">
        <v>42.499999999999964</v>
      </c>
      <c r="C20" s="67">
        <v>27.49999999999995</v>
      </c>
      <c r="D20" s="67">
        <v>15.000000000000012</v>
      </c>
      <c r="E20" s="72" t="s">
        <v>253</v>
      </c>
    </row>
    <row r="21" spans="1:5" x14ac:dyDescent="0.2">
      <c r="A21" t="s">
        <v>153</v>
      </c>
      <c r="B21" s="66">
        <v>44.750000000000064</v>
      </c>
      <c r="C21" s="67">
        <v>28.75000000000016</v>
      </c>
      <c r="D21" s="67">
        <v>15.999999999999902</v>
      </c>
      <c r="E21" s="72" t="s">
        <v>253</v>
      </c>
    </row>
    <row r="22" spans="1:5" x14ac:dyDescent="0.2">
      <c r="A22" t="s">
        <v>154</v>
      </c>
      <c r="B22" s="66">
        <v>45.249999999999943</v>
      </c>
      <c r="C22" s="67">
        <v>28.749999999999819</v>
      </c>
      <c r="D22" s="67">
        <v>16.500000000000124</v>
      </c>
      <c r="E22" s="72" t="s">
        <v>253</v>
      </c>
    </row>
    <row r="23" spans="1:5" x14ac:dyDescent="0.2">
      <c r="A23" t="s">
        <v>155</v>
      </c>
      <c r="B23" s="66">
        <v>45.000000000000036</v>
      </c>
      <c r="C23" s="67">
        <v>29.75000000000005</v>
      </c>
      <c r="D23" s="67">
        <v>15.249999999999986</v>
      </c>
      <c r="E23" s="72" t="s">
        <v>253</v>
      </c>
    </row>
    <row r="24" spans="1:5" x14ac:dyDescent="0.2">
      <c r="A24" t="s">
        <v>156</v>
      </c>
      <c r="B24" s="66">
        <v>40.999999999999922</v>
      </c>
      <c r="C24" s="67">
        <v>35.000000000000028</v>
      </c>
      <c r="D24" s="67">
        <v>5.9999999999998943</v>
      </c>
      <c r="E24" s="72" t="s">
        <v>253</v>
      </c>
    </row>
    <row r="25" spans="1:5" x14ac:dyDescent="0.2">
      <c r="A25" t="s">
        <v>157</v>
      </c>
      <c r="B25" s="66">
        <v>43.499999999999993</v>
      </c>
      <c r="C25" s="67">
        <v>29.249999999999901</v>
      </c>
      <c r="D25" s="67">
        <v>14.250000000000096</v>
      </c>
      <c r="E25" s="72" t="s">
        <v>253</v>
      </c>
    </row>
    <row r="26" spans="1:5" x14ac:dyDescent="0.2">
      <c r="A26" t="s">
        <v>158</v>
      </c>
      <c r="B26" s="66">
        <v>40.50000000000005</v>
      </c>
      <c r="C26" s="67">
        <v>27.000000000000149</v>
      </c>
      <c r="D26" s="67">
        <v>13.499999999999901</v>
      </c>
      <c r="E26" s="72" t="s">
        <v>253</v>
      </c>
    </row>
    <row r="27" spans="1:5" x14ac:dyDescent="0.2">
      <c r="A27" t="s">
        <v>159</v>
      </c>
      <c r="B27" s="66">
        <v>45.999999999999929</v>
      </c>
      <c r="C27" s="67">
        <v>28.999999999999858</v>
      </c>
      <c r="D27" s="67">
        <v>17.000000000000071</v>
      </c>
      <c r="E27" s="72" t="s">
        <v>253</v>
      </c>
    </row>
    <row r="28" spans="1:5" x14ac:dyDescent="0.2">
      <c r="A28" t="s">
        <v>160</v>
      </c>
      <c r="B28" s="66">
        <v>27.499999999999986</v>
      </c>
      <c r="C28" s="67">
        <v>14.25000000000006</v>
      </c>
      <c r="D28" s="67">
        <v>13.249999999999929</v>
      </c>
      <c r="E28" s="72" t="s">
        <v>253</v>
      </c>
    </row>
    <row r="29" spans="1:5" x14ac:dyDescent="0.2">
      <c r="A29" t="s">
        <v>161</v>
      </c>
      <c r="B29" s="66">
        <v>43.250000000000021</v>
      </c>
      <c r="C29" s="67">
        <v>33.250000000000014</v>
      </c>
      <c r="D29" s="67">
        <v>10.000000000000009</v>
      </c>
      <c r="E29" s="72" t="s">
        <v>253</v>
      </c>
    </row>
    <row r="30" spans="1:5" x14ac:dyDescent="0.2">
      <c r="A30" t="s">
        <v>162</v>
      </c>
      <c r="B30" s="66">
        <v>40.500000000000043</v>
      </c>
      <c r="C30" s="67">
        <v>31.500000000000206</v>
      </c>
      <c r="D30" s="67">
        <v>8.9999999999998419</v>
      </c>
      <c r="E30" s="72" t="s">
        <v>253</v>
      </c>
    </row>
    <row r="31" spans="1:5" x14ac:dyDescent="0.2">
      <c r="A31" t="s">
        <v>163</v>
      </c>
      <c r="B31" s="66">
        <v>53.5</v>
      </c>
      <c r="C31" s="67">
        <v>42.500000000000107</v>
      </c>
      <c r="D31" s="67">
        <v>10.999999999999899</v>
      </c>
      <c r="E31" s="72" t="s">
        <v>253</v>
      </c>
    </row>
    <row r="32" spans="1:5" x14ac:dyDescent="0.2">
      <c r="A32" t="s">
        <v>164</v>
      </c>
      <c r="B32" s="66">
        <v>47.999999999999986</v>
      </c>
      <c r="C32" s="67">
        <v>36.000000000000199</v>
      </c>
      <c r="D32" s="67">
        <v>11.999999999999789</v>
      </c>
      <c r="E32" s="72" t="s">
        <v>253</v>
      </c>
    </row>
    <row r="33" spans="1:5" x14ac:dyDescent="0.2">
      <c r="A33" t="s">
        <v>165</v>
      </c>
      <c r="B33" s="66">
        <v>49.75</v>
      </c>
      <c r="C33" s="67">
        <v>34.250000000000043</v>
      </c>
      <c r="D33" s="67">
        <v>15.499999999999957</v>
      </c>
      <c r="E33" s="72" t="s">
        <v>254</v>
      </c>
    </row>
    <row r="34" spans="1:5" x14ac:dyDescent="0.2">
      <c r="A34" t="s">
        <v>166</v>
      </c>
      <c r="B34" s="66">
        <v>51.500000000000014</v>
      </c>
      <c r="C34" s="67">
        <v>33.250000000000085</v>
      </c>
      <c r="D34" s="67">
        <v>18.249999999999929</v>
      </c>
      <c r="E34" s="72" t="s">
        <v>254</v>
      </c>
    </row>
    <row r="35" spans="1:5" x14ac:dyDescent="0.2">
      <c r="A35" t="s">
        <v>167</v>
      </c>
      <c r="B35" s="66">
        <v>59.249999999999986</v>
      </c>
      <c r="C35" s="67">
        <v>42.999999999999559</v>
      </c>
      <c r="D35" s="67">
        <v>16.25000000000043</v>
      </c>
      <c r="E35" s="72" t="s">
        <v>254</v>
      </c>
    </row>
    <row r="36" spans="1:5" x14ac:dyDescent="0.2">
      <c r="A36" t="s">
        <v>168</v>
      </c>
      <c r="B36" s="66">
        <v>50.749999999999957</v>
      </c>
      <c r="C36" s="67">
        <v>40.000000000000028</v>
      </c>
      <c r="D36" s="67">
        <v>10.749999999999925</v>
      </c>
      <c r="E36" s="72" t="s">
        <v>254</v>
      </c>
    </row>
    <row r="37" spans="1:5" x14ac:dyDescent="0.2">
      <c r="A37" t="s">
        <v>169</v>
      </c>
      <c r="B37" s="66">
        <v>49.75</v>
      </c>
      <c r="C37" s="67">
        <v>39.500000000000014</v>
      </c>
      <c r="D37" s="67">
        <v>10.249999999999982</v>
      </c>
      <c r="E37" s="72" t="s">
        <v>254</v>
      </c>
    </row>
    <row r="38" spans="1:5" x14ac:dyDescent="0.2">
      <c r="A38" t="s">
        <v>170</v>
      </c>
      <c r="B38" s="66">
        <v>54.249999999999986</v>
      </c>
      <c r="C38" s="67">
        <v>45.249999999999872</v>
      </c>
      <c r="D38" s="67">
        <v>9.000000000000119</v>
      </c>
      <c r="E38" s="72" t="s">
        <v>254</v>
      </c>
    </row>
    <row r="39" spans="1:5" x14ac:dyDescent="0.2">
      <c r="A39" t="s">
        <v>171</v>
      </c>
      <c r="B39" s="66">
        <v>47.999999999999915</v>
      </c>
      <c r="C39" s="67">
        <v>38.499999999999851</v>
      </c>
      <c r="D39" s="67">
        <v>9.5000000000000639</v>
      </c>
      <c r="E39" s="72" t="s">
        <v>254</v>
      </c>
    </row>
    <row r="40" spans="1:5" x14ac:dyDescent="0.2">
      <c r="A40" t="s">
        <v>113</v>
      </c>
      <c r="B40" s="66">
        <v>62.749999999999957</v>
      </c>
      <c r="C40" s="67">
        <v>52.999999999999922</v>
      </c>
      <c r="D40" s="67">
        <v>9.7500000000000355</v>
      </c>
      <c r="E40" s="72" t="s">
        <v>254</v>
      </c>
    </row>
    <row r="41" spans="1:5" x14ac:dyDescent="0.2">
      <c r="A41" t="s">
        <v>114</v>
      </c>
      <c r="B41" s="66">
        <v>59.000000000000021</v>
      </c>
      <c r="C41" s="67">
        <v>48.500000000000071</v>
      </c>
      <c r="D41" s="67">
        <v>10.499999999999954</v>
      </c>
      <c r="E41" s="72" t="s">
        <v>254</v>
      </c>
    </row>
    <row r="42" spans="1:5" x14ac:dyDescent="0.2">
      <c r="A42" t="s">
        <v>115</v>
      </c>
      <c r="B42" s="66">
        <v>54.250000000000057</v>
      </c>
      <c r="C42" s="67">
        <v>44.000000000000071</v>
      </c>
      <c r="D42" s="67">
        <v>10.249999999999982</v>
      </c>
      <c r="E42" s="72" t="s">
        <v>254</v>
      </c>
    </row>
    <row r="43" spans="1:5" x14ac:dyDescent="0.2">
      <c r="A43" t="s">
        <v>116</v>
      </c>
      <c r="B43" s="66">
        <v>58.25</v>
      </c>
      <c r="C43" s="67">
        <v>44.500000000000128</v>
      </c>
      <c r="D43" s="67">
        <v>13.749999999999872</v>
      </c>
      <c r="E43" s="72" t="s">
        <v>254</v>
      </c>
    </row>
    <row r="44" spans="1:5" x14ac:dyDescent="0.2">
      <c r="A44" t="s">
        <v>117</v>
      </c>
      <c r="B44" s="66">
        <v>54.249999999999993</v>
      </c>
      <c r="C44" s="67">
        <v>43.500000000000071</v>
      </c>
      <c r="D44" s="67">
        <v>10.749999999999925</v>
      </c>
      <c r="E44" s="72" t="s">
        <v>254</v>
      </c>
    </row>
    <row r="45" spans="1:5" x14ac:dyDescent="0.2">
      <c r="A45" t="s">
        <v>118</v>
      </c>
      <c r="B45" s="66">
        <v>54.750000000000007</v>
      </c>
      <c r="C45" s="67">
        <v>43.000000000000185</v>
      </c>
      <c r="D45" s="67">
        <v>11.749999999999815</v>
      </c>
      <c r="E45" s="72" t="s">
        <v>254</v>
      </c>
    </row>
    <row r="46" spans="1:5" x14ac:dyDescent="0.2">
      <c r="A46" t="s">
        <v>119</v>
      </c>
      <c r="B46" s="66">
        <v>72.750000000000028</v>
      </c>
      <c r="C46" s="67">
        <v>58.750000000000462</v>
      </c>
      <c r="D46" s="67">
        <v>13.999999999999568</v>
      </c>
      <c r="E46" s="72" t="s">
        <v>254</v>
      </c>
    </row>
    <row r="47" spans="1:5" x14ac:dyDescent="0.2">
      <c r="A47" t="s">
        <v>227</v>
      </c>
      <c r="B47">
        <v>70.749999999999972</v>
      </c>
      <c r="C47">
        <v>49.499999999999538</v>
      </c>
      <c r="D47">
        <v>21.250000000000433</v>
      </c>
      <c r="E47" s="72" t="s">
        <v>255</v>
      </c>
    </row>
    <row r="48" spans="1:5" x14ac:dyDescent="0.2">
      <c r="A48" t="s">
        <v>228</v>
      </c>
      <c r="B48">
        <v>62.250000000000014</v>
      </c>
      <c r="C48">
        <v>44.500000000000298</v>
      </c>
      <c r="D48">
        <v>17.749999999999709</v>
      </c>
      <c r="E48" s="72" t="s">
        <v>255</v>
      </c>
    </row>
    <row r="49" spans="1:5" x14ac:dyDescent="0.2">
      <c r="A49" t="s">
        <v>229</v>
      </c>
      <c r="B49">
        <v>58.249999999999972</v>
      </c>
      <c r="C49">
        <v>40.499999999999702</v>
      </c>
      <c r="D49">
        <v>17.750000000000263</v>
      </c>
      <c r="E49" s="72" t="s">
        <v>255</v>
      </c>
    </row>
    <row r="50" spans="1:5" x14ac:dyDescent="0.2">
      <c r="A50" t="s">
        <v>230</v>
      </c>
      <c r="B50">
        <v>47.25</v>
      </c>
      <c r="C50">
        <v>31.75000000000032</v>
      </c>
      <c r="D50">
        <v>15.49999999999968</v>
      </c>
      <c r="E50" s="72" t="s">
        <v>255</v>
      </c>
    </row>
    <row r="51" spans="1:5" x14ac:dyDescent="0.2">
      <c r="A51" t="s">
        <v>231</v>
      </c>
      <c r="B51">
        <v>43.499999999999929</v>
      </c>
      <c r="C51">
        <v>25.749999999999936</v>
      </c>
      <c r="D51">
        <v>17.749999999999986</v>
      </c>
      <c r="E51" s="72" t="s">
        <v>255</v>
      </c>
    </row>
    <row r="52" spans="1:5" x14ac:dyDescent="0.2">
      <c r="A52" t="s">
        <v>232</v>
      </c>
      <c r="B52">
        <v>60.500000000000064</v>
      </c>
      <c r="C52">
        <v>42.999999999999773</v>
      </c>
      <c r="D52">
        <v>17.500000000000291</v>
      </c>
      <c r="E52" s="72" t="s">
        <v>255</v>
      </c>
    </row>
    <row r="53" spans="1:5" x14ac:dyDescent="0.2">
      <c r="A53" t="s">
        <v>233</v>
      </c>
      <c r="B53">
        <v>64.25</v>
      </c>
      <c r="C53">
        <v>44.500000000000227</v>
      </c>
      <c r="D53">
        <v>19.749999999999766</v>
      </c>
      <c r="E53" s="72" t="s">
        <v>255</v>
      </c>
    </row>
    <row r="54" spans="1:5" x14ac:dyDescent="0.2">
      <c r="A54" t="s">
        <v>234</v>
      </c>
      <c r="B54">
        <v>23.999999999999993</v>
      </c>
      <c r="C54">
        <v>15.00000000000043</v>
      </c>
      <c r="D54">
        <v>8.999999999999563</v>
      </c>
      <c r="E54" s="72" t="s">
        <v>256</v>
      </c>
    </row>
    <row r="55" spans="1:5" x14ac:dyDescent="0.2">
      <c r="A55" t="s">
        <v>235</v>
      </c>
      <c r="B55">
        <v>20.000000000000014</v>
      </c>
      <c r="C55">
        <v>11.750000000000369</v>
      </c>
      <c r="D55">
        <v>8.2499999999996465</v>
      </c>
      <c r="E55" s="72" t="s">
        <v>256</v>
      </c>
    </row>
    <row r="56" spans="1:5" x14ac:dyDescent="0.2">
      <c r="A56" t="s">
        <v>236</v>
      </c>
      <c r="B56">
        <v>18.750000000000014</v>
      </c>
      <c r="C56">
        <v>8.7500000000000071</v>
      </c>
      <c r="D56">
        <v>10.000000000000009</v>
      </c>
      <c r="E56" s="72" t="s">
        <v>256</v>
      </c>
    </row>
    <row r="57" spans="1:5" x14ac:dyDescent="0.2">
      <c r="A57" t="s">
        <v>237</v>
      </c>
      <c r="B57">
        <v>20.750000000000071</v>
      </c>
      <c r="C57">
        <v>11.000000000000313</v>
      </c>
      <c r="D57">
        <v>9.7499999999997584</v>
      </c>
      <c r="E57" s="72" t="s">
        <v>256</v>
      </c>
    </row>
    <row r="58" spans="1:5" x14ac:dyDescent="0.2">
      <c r="A58" t="s">
        <v>238</v>
      </c>
      <c r="B58">
        <v>27.250000000000014</v>
      </c>
      <c r="C58">
        <v>17.499999999999979</v>
      </c>
      <c r="D58">
        <v>9.7500000000000355</v>
      </c>
      <c r="E58" s="72" t="s">
        <v>256</v>
      </c>
    </row>
    <row r="59" spans="1:5" x14ac:dyDescent="0.2">
      <c r="A59" t="s">
        <v>239</v>
      </c>
      <c r="B59">
        <v>29.499999999999943</v>
      </c>
      <c r="C59">
        <v>17.00000000000021</v>
      </c>
      <c r="D59">
        <v>12.499999999999734</v>
      </c>
      <c r="E59" s="72" t="s">
        <v>256</v>
      </c>
    </row>
    <row r="60" spans="1:5" x14ac:dyDescent="0.2">
      <c r="A60" t="s">
        <v>240</v>
      </c>
      <c r="B60">
        <v>28.000000000000039</v>
      </c>
      <c r="C60">
        <v>15.249999999999778</v>
      </c>
      <c r="D60">
        <v>12.750000000000261</v>
      </c>
      <c r="E60" s="72" t="s">
        <v>256</v>
      </c>
    </row>
    <row r="61" spans="1:5" x14ac:dyDescent="0.2">
      <c r="A61" t="s">
        <v>241</v>
      </c>
      <c r="B61">
        <v>28.499999999999982</v>
      </c>
      <c r="C61">
        <v>15.75</v>
      </c>
      <c r="D61">
        <v>12.749999999999982</v>
      </c>
      <c r="E61" s="72" t="s">
        <v>256</v>
      </c>
    </row>
    <row r="62" spans="1:5" x14ac:dyDescent="0.2">
      <c r="A62" t="s">
        <v>242</v>
      </c>
      <c r="B62">
        <v>27.499999999999954</v>
      </c>
      <c r="C62">
        <v>13.499999999999829</v>
      </c>
      <c r="D62">
        <v>14.000000000000124</v>
      </c>
      <c r="E62" s="72" t="s">
        <v>256</v>
      </c>
    </row>
    <row r="63" spans="1:5" x14ac:dyDescent="0.2">
      <c r="A63" t="s">
        <v>243</v>
      </c>
      <c r="B63">
        <v>26.500000000000064</v>
      </c>
      <c r="C63">
        <v>11.999999999999996</v>
      </c>
      <c r="D63">
        <v>14.500000000000068</v>
      </c>
      <c r="E63" s="72" t="s">
        <v>256</v>
      </c>
    </row>
    <row r="64" spans="1:5" x14ac:dyDescent="0.2">
      <c r="A64" t="s">
        <v>244</v>
      </c>
      <c r="B64">
        <v>32.500000000000028</v>
      </c>
      <c r="C64">
        <v>19.249999999999268</v>
      </c>
      <c r="D64">
        <v>13.25000000000076</v>
      </c>
      <c r="E64" s="72" t="s">
        <v>256</v>
      </c>
    </row>
    <row r="65" spans="1:5" x14ac:dyDescent="0.2">
      <c r="A65" t="s">
        <v>245</v>
      </c>
      <c r="B65">
        <v>33.500000000000057</v>
      </c>
      <c r="C65">
        <v>17.000000000000206</v>
      </c>
      <c r="D65">
        <v>16.499999999999847</v>
      </c>
      <c r="E65" s="72" t="s">
        <v>256</v>
      </c>
    </row>
    <row r="66" spans="1:5" x14ac:dyDescent="0.2">
      <c r="A66" t="s">
        <v>246</v>
      </c>
      <c r="B66">
        <v>32.500000000000021</v>
      </c>
      <c r="C66">
        <v>19.249999999999815</v>
      </c>
      <c r="D66">
        <v>13.250000000000206</v>
      </c>
      <c r="E66" s="72" t="s">
        <v>256</v>
      </c>
    </row>
    <row r="67" spans="1:5" x14ac:dyDescent="0.2">
      <c r="A67" t="s">
        <v>247</v>
      </c>
      <c r="B67">
        <v>32.250000000000057</v>
      </c>
      <c r="C67">
        <v>19.249999999999822</v>
      </c>
      <c r="D67">
        <v>13.000000000000234</v>
      </c>
      <c r="E67" s="72" t="s">
        <v>256</v>
      </c>
    </row>
    <row r="68" spans="1:5" x14ac:dyDescent="0.2">
      <c r="A68" t="s">
        <v>248</v>
      </c>
      <c r="B68">
        <v>27.500000000000021</v>
      </c>
      <c r="C68">
        <v>12.750000000000536</v>
      </c>
      <c r="D68">
        <v>14.749999999999485</v>
      </c>
      <c r="E68" s="72" t="s">
        <v>256</v>
      </c>
    </row>
    <row r="69" spans="1:5" x14ac:dyDescent="0.2">
      <c r="A69" t="s">
        <v>249</v>
      </c>
      <c r="B69">
        <v>33.000000000000043</v>
      </c>
      <c r="C69">
        <v>19.000000000000473</v>
      </c>
      <c r="D69">
        <v>13.999999999999568</v>
      </c>
      <c r="E69" s="72" t="s">
        <v>256</v>
      </c>
    </row>
    <row r="70" spans="1:5" x14ac:dyDescent="0.2">
      <c r="A70" t="s">
        <v>250</v>
      </c>
      <c r="B70">
        <v>35.500000000000043</v>
      </c>
      <c r="C70">
        <v>20.250000000000057</v>
      </c>
      <c r="D70">
        <v>15.249999999999986</v>
      </c>
      <c r="E70" s="72" t="s">
        <v>256</v>
      </c>
    </row>
    <row r="71" spans="1:5" x14ac:dyDescent="0.2">
      <c r="A71" t="s">
        <v>251</v>
      </c>
      <c r="B71">
        <v>30.500000000000039</v>
      </c>
      <c r="C71">
        <v>17.999999999999751</v>
      </c>
      <c r="D71">
        <v>12.500000000000288</v>
      </c>
      <c r="E71" s="72" t="s">
        <v>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0"/>
  <sheetViews>
    <sheetView showGridLines="0" workbookViewId="0"/>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36" t="s">
        <v>11</v>
      </c>
      <c r="C1" s="36"/>
      <c r="D1" s="40"/>
      <c r="E1" s="40"/>
      <c r="F1" s="40"/>
    </row>
    <row r="2" spans="2:6" x14ac:dyDescent="0.2">
      <c r="B2" s="36" t="s">
        <v>12</v>
      </c>
      <c r="C2" s="36"/>
      <c r="D2" s="40"/>
      <c r="E2" s="40"/>
      <c r="F2" s="40"/>
    </row>
    <row r="3" spans="2:6" x14ac:dyDescent="0.2">
      <c r="B3" s="37"/>
      <c r="C3" s="37"/>
      <c r="D3" s="41"/>
      <c r="E3" s="41"/>
      <c r="F3" s="41"/>
    </row>
    <row r="4" spans="2:6" ht="51" x14ac:dyDescent="0.2">
      <c r="B4" s="37" t="s">
        <v>13</v>
      </c>
      <c r="C4" s="37"/>
      <c r="D4" s="41"/>
      <c r="E4" s="41"/>
      <c r="F4" s="41"/>
    </row>
    <row r="5" spans="2:6" x14ac:dyDescent="0.2">
      <c r="B5" s="37"/>
      <c r="C5" s="37"/>
      <c r="D5" s="41"/>
      <c r="E5" s="41"/>
      <c r="F5" s="41"/>
    </row>
    <row r="6" spans="2:6" x14ac:dyDescent="0.2">
      <c r="B6" s="36" t="s">
        <v>14</v>
      </c>
      <c r="C6" s="36"/>
      <c r="D6" s="40"/>
      <c r="E6" s="40" t="s">
        <v>15</v>
      </c>
      <c r="F6" s="40" t="s">
        <v>16</v>
      </c>
    </row>
    <row r="7" spans="2:6" ht="13.5" thickBot="1" x14ac:dyDescent="0.25">
      <c r="B7" s="37"/>
      <c r="C7" s="37"/>
      <c r="D7" s="41"/>
      <c r="E7" s="41"/>
      <c r="F7" s="41"/>
    </row>
    <row r="8" spans="2:6" ht="39" thickBot="1" x14ac:dyDescent="0.25">
      <c r="B8" s="38" t="s">
        <v>17</v>
      </c>
      <c r="C8" s="39"/>
      <c r="D8" s="42"/>
      <c r="E8" s="42">
        <v>11</v>
      </c>
      <c r="F8" s="43" t="s">
        <v>18</v>
      </c>
    </row>
    <row r="9" spans="2:6" x14ac:dyDescent="0.2">
      <c r="B9" s="37"/>
      <c r="C9" s="37"/>
      <c r="D9" s="41"/>
      <c r="E9" s="41"/>
      <c r="F9" s="41"/>
    </row>
    <row r="10" spans="2:6" x14ac:dyDescent="0.2">
      <c r="B10" s="37"/>
      <c r="C10" s="37"/>
      <c r="D10" s="41"/>
      <c r="E10" s="41"/>
      <c r="F10" s="41"/>
    </row>
  </sheetData>
  <pageMargins left="0.75" right="0.75" top="1" bottom="1"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1</vt:i4>
      </vt:variant>
    </vt:vector>
  </HeadingPairs>
  <TitlesOfParts>
    <vt:vector size="5" baseType="lpstr">
      <vt:lpstr>Sheet1</vt:lpstr>
      <vt:lpstr>Sesonal data</vt:lpstr>
      <vt:lpstr>Compatibility Report</vt:lpstr>
      <vt:lpstr>Chart1</vt:lpstr>
      <vt:lpstr>Sheet1!Print_Area</vt:lpstr>
    </vt:vector>
  </TitlesOfParts>
  <Company>Coastal Studies Institute, LSU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Nan Walker</dc:creator>
  <cp:lastModifiedBy>sankar</cp:lastModifiedBy>
  <cp:lastPrinted>2012-06-28T16:01:49Z</cp:lastPrinted>
  <dcterms:created xsi:type="dcterms:W3CDTF">2008-02-18T17:02:45Z</dcterms:created>
  <dcterms:modified xsi:type="dcterms:W3CDTF">2020-02-20T20:02:27Z</dcterms:modified>
</cp:coreProperties>
</file>