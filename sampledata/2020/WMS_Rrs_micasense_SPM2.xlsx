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heets/sheet1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8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MSU\SPM\Field Data\2020\"/>
    </mc:Choice>
  </mc:AlternateContent>
  <xr:revisionPtr revIDLastSave="0" documentId="13_ncr:1_{1A47EF3D-D6D0-4338-89A7-7EE6945F5AB9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  <sheet name="Sheet2" sheetId="3" r:id="rId2"/>
    <sheet name="Chart1" sheetId="2" r:id="rId3"/>
  </sheets>
  <definedNames>
    <definedName name="solver_adj" localSheetId="0" hidden="1">Sheet1!$AB$2:$AB$4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2</definedName>
    <definedName name="solver_nod" localSheetId="0" hidden="1">2147483647</definedName>
    <definedName name="solver_num" localSheetId="0" hidden="1">0</definedName>
    <definedName name="solver_nwt" localSheetId="0" hidden="1">1</definedName>
    <definedName name="solver_opt" localSheetId="0" hidden="1">Sheet1!$AE$14</definedName>
    <definedName name="solver_pre" localSheetId="0" hidden="1">0.000001</definedName>
    <definedName name="solver_rbv" localSheetId="0" hidden="1">1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2" i="1"/>
  <c r="I2" i="1"/>
  <c r="I3" i="1"/>
  <c r="H2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H4" i="1"/>
  <c r="AE14" i="1" l="1"/>
  <c r="AF14" i="1" s="1"/>
  <c r="AC14" i="1"/>
  <c r="AD14" i="1" s="1"/>
  <c r="H3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AA14" i="1" l="1"/>
  <c r="AB14" i="1" s="1"/>
  <c r="AX14" i="1"/>
  <c r="AY14" i="1" l="1"/>
</calcChain>
</file>

<file path=xl/sharedStrings.xml><?xml version="1.0" encoding="utf-8"?>
<sst xmlns="http://schemas.openxmlformats.org/spreadsheetml/2006/main" count="131" uniqueCount="69">
  <si>
    <t>Sites</t>
  </si>
  <si>
    <t>SPM</t>
  </si>
  <si>
    <t>WMS04</t>
  </si>
  <si>
    <t>WMS06</t>
  </si>
  <si>
    <t>WMS07</t>
  </si>
  <si>
    <t>WMS13</t>
  </si>
  <si>
    <t>WMS14</t>
  </si>
  <si>
    <t>WMS16</t>
  </si>
  <si>
    <t>WMS17</t>
  </si>
  <si>
    <t>WMS19</t>
  </si>
  <si>
    <t>WMS20</t>
  </si>
  <si>
    <t>WMS23</t>
  </si>
  <si>
    <t>WMS24</t>
  </si>
  <si>
    <t>WMS27</t>
  </si>
  <si>
    <t>WMS31</t>
  </si>
  <si>
    <t>WMS33</t>
  </si>
  <si>
    <t>WMS34</t>
  </si>
  <si>
    <t>WMS36</t>
  </si>
  <si>
    <t>WMS37</t>
  </si>
  <si>
    <t>WMS39</t>
  </si>
  <si>
    <t>WMS47</t>
  </si>
  <si>
    <t>WMS48</t>
  </si>
  <si>
    <t>WMS49</t>
  </si>
  <si>
    <t>WMS50</t>
  </si>
  <si>
    <t>WMS51</t>
  </si>
  <si>
    <t>WMS52</t>
  </si>
  <si>
    <t>WMS53</t>
  </si>
  <si>
    <t>WMS54</t>
  </si>
  <si>
    <t>WMS55</t>
  </si>
  <si>
    <t>WMS56</t>
  </si>
  <si>
    <t>WMS59</t>
  </si>
  <si>
    <t>WMS60</t>
  </si>
  <si>
    <t>WMS61</t>
  </si>
  <si>
    <t>WMS62</t>
  </si>
  <si>
    <t>WMS64</t>
  </si>
  <si>
    <t>WMS65</t>
  </si>
  <si>
    <t>WMS66</t>
  </si>
  <si>
    <t>WMS67</t>
  </si>
  <si>
    <t>WMS68</t>
  </si>
  <si>
    <t>WMS69</t>
  </si>
  <si>
    <t>WMS70</t>
  </si>
  <si>
    <t>WMS71</t>
  </si>
  <si>
    <t>Blue 482</t>
  </si>
  <si>
    <t>Green 557</t>
  </si>
  <si>
    <t>Red 667</t>
  </si>
  <si>
    <t>RedEdge 717</t>
  </si>
  <si>
    <t>NIR 831</t>
  </si>
  <si>
    <t>X</t>
  </si>
  <si>
    <t>WMS05</t>
  </si>
  <si>
    <t>WMS09</t>
  </si>
  <si>
    <t>WMS15</t>
  </si>
  <si>
    <t>WMS18</t>
  </si>
  <si>
    <t>WMS22</t>
  </si>
  <si>
    <t>WMS25</t>
  </si>
  <si>
    <t>WMS26</t>
  </si>
  <si>
    <t>WMS29</t>
  </si>
  <si>
    <t>WMS30</t>
  </si>
  <si>
    <t>WMS32</t>
  </si>
  <si>
    <t>WMS35</t>
  </si>
  <si>
    <t>WMS38</t>
  </si>
  <si>
    <t>r</t>
  </si>
  <si>
    <t>r2</t>
  </si>
  <si>
    <t>Total Rrs</t>
  </si>
  <si>
    <t>Blue_482</t>
  </si>
  <si>
    <t>Green_557</t>
  </si>
  <si>
    <t>Red_667</t>
  </si>
  <si>
    <t>RedEdge_717</t>
  </si>
  <si>
    <t>X2</t>
  </si>
  <si>
    <t>X3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</si>
</sst>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hartsheet" Target="chartsheets/sheet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Sheet1!$H$1</c:f>
              <c:strCache>
                <c:ptCount val="1"/>
                <c:pt idx="0">
                  <c:v>X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3.0227690288713912E-2"/>
                  <c:y val="-0.1135994459025955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Sheet1!$B$2:$B$51</c:f>
              <c:numCache>
                <c:formatCode>General</c:formatCode>
                <c:ptCount val="50"/>
                <c:pt idx="0">
                  <c:v>36.000000000000036</c:v>
                </c:pt>
                <c:pt idx="1">
                  <c:v>36</c:v>
                </c:pt>
                <c:pt idx="2">
                  <c:v>35.000000000000043</c:v>
                </c:pt>
                <c:pt idx="3">
                  <c:v>29.999999999999972</c:v>
                </c:pt>
                <c:pt idx="4">
                  <c:v>28.249999999999954</c:v>
                </c:pt>
                <c:pt idx="5">
                  <c:v>49.5</c:v>
                </c:pt>
                <c:pt idx="6">
                  <c:v>46.750000000000028</c:v>
                </c:pt>
                <c:pt idx="7">
                  <c:v>44.5</c:v>
                </c:pt>
                <c:pt idx="8">
                  <c:v>41.749999999999957</c:v>
                </c:pt>
                <c:pt idx="9">
                  <c:v>46.499999999999986</c:v>
                </c:pt>
                <c:pt idx="10">
                  <c:v>43.49999999999995</c:v>
                </c:pt>
                <c:pt idx="11">
                  <c:v>43.999999999999964</c:v>
                </c:pt>
                <c:pt idx="12">
                  <c:v>46.250000000000064</c:v>
                </c:pt>
                <c:pt idx="13">
                  <c:v>46.500000000000036</c:v>
                </c:pt>
                <c:pt idx="14">
                  <c:v>45.749999999999957</c:v>
                </c:pt>
                <c:pt idx="15">
                  <c:v>43.499999999999993</c:v>
                </c:pt>
                <c:pt idx="16">
                  <c:v>40.50000000000005</c:v>
                </c:pt>
                <c:pt idx="17">
                  <c:v>45.999999999999929</c:v>
                </c:pt>
                <c:pt idx="18">
                  <c:v>28.499999999999986</c:v>
                </c:pt>
                <c:pt idx="19">
                  <c:v>44.250000000000021</c:v>
                </c:pt>
                <c:pt idx="20">
                  <c:v>41.500000000000043</c:v>
                </c:pt>
                <c:pt idx="21">
                  <c:v>49.000000000000028</c:v>
                </c:pt>
                <c:pt idx="22">
                  <c:v>45.75</c:v>
                </c:pt>
                <c:pt idx="23">
                  <c:v>47.500000000000014</c:v>
                </c:pt>
                <c:pt idx="24">
                  <c:v>55.249999999999986</c:v>
                </c:pt>
                <c:pt idx="25">
                  <c:v>50.249999999999957</c:v>
                </c:pt>
                <c:pt idx="26">
                  <c:v>49.25</c:v>
                </c:pt>
                <c:pt idx="27">
                  <c:v>53.749999999999986</c:v>
                </c:pt>
                <c:pt idx="28">
                  <c:v>47.499999999999915</c:v>
                </c:pt>
                <c:pt idx="29">
                  <c:v>70.749999999999972</c:v>
                </c:pt>
                <c:pt idx="30">
                  <c:v>62.250000000000007</c:v>
                </c:pt>
                <c:pt idx="31">
                  <c:v>58.249999999999972</c:v>
                </c:pt>
                <c:pt idx="32">
                  <c:v>47.25</c:v>
                </c:pt>
                <c:pt idx="33">
                  <c:v>60.500000000000057</c:v>
                </c:pt>
                <c:pt idx="34">
                  <c:v>64.25</c:v>
                </c:pt>
                <c:pt idx="35">
                  <c:v>23.999999999999989</c:v>
                </c:pt>
                <c:pt idx="36">
                  <c:v>20.000000000000011</c:v>
                </c:pt>
                <c:pt idx="37">
                  <c:v>18.750000000000011</c:v>
                </c:pt>
                <c:pt idx="38">
                  <c:v>29.49999999999994</c:v>
                </c:pt>
                <c:pt idx="39">
                  <c:v>28.000000000000039</c:v>
                </c:pt>
                <c:pt idx="40">
                  <c:v>28.499999999999979</c:v>
                </c:pt>
                <c:pt idx="41">
                  <c:v>27.49999999999995</c:v>
                </c:pt>
                <c:pt idx="42">
                  <c:v>32.500000000000028</c:v>
                </c:pt>
                <c:pt idx="43">
                  <c:v>33.500000000000057</c:v>
                </c:pt>
                <c:pt idx="44">
                  <c:v>32.500000000000021</c:v>
                </c:pt>
                <c:pt idx="45">
                  <c:v>32.250000000000057</c:v>
                </c:pt>
                <c:pt idx="46">
                  <c:v>27.500000000000021</c:v>
                </c:pt>
                <c:pt idx="47">
                  <c:v>33.000000000000043</c:v>
                </c:pt>
                <c:pt idx="48">
                  <c:v>35.5</c:v>
                </c:pt>
                <c:pt idx="49">
                  <c:v>30.500000000000039</c:v>
                </c:pt>
              </c:numCache>
            </c:numRef>
          </c:xVal>
          <c:yVal>
            <c:numRef>
              <c:f>Sheet1!$H$2:$H$51</c:f>
              <c:numCache>
                <c:formatCode>General</c:formatCode>
                <c:ptCount val="50"/>
                <c:pt idx="0">
                  <c:v>1.4280963392209485</c:v>
                </c:pt>
                <c:pt idx="1">
                  <c:v>1.4683911786443546</c:v>
                </c:pt>
                <c:pt idx="2">
                  <c:v>1.4806649980493995</c:v>
                </c:pt>
                <c:pt idx="3">
                  <c:v>1.5630631466495966</c:v>
                </c:pt>
                <c:pt idx="4">
                  <c:v>1.575149555088895</c:v>
                </c:pt>
                <c:pt idx="5">
                  <c:v>1.5279706370880357</c:v>
                </c:pt>
                <c:pt idx="6">
                  <c:v>1.6971423464228741</c:v>
                </c:pt>
                <c:pt idx="7">
                  <c:v>1.7016757526706685</c:v>
                </c:pt>
                <c:pt idx="8">
                  <c:v>1.6474218155541922</c:v>
                </c:pt>
                <c:pt idx="9">
                  <c:v>1.7345921167322693</c:v>
                </c:pt>
                <c:pt idx="10">
                  <c:v>1.6587483181174445</c:v>
                </c:pt>
                <c:pt idx="11">
                  <c:v>1.5684490895098726</c:v>
                </c:pt>
                <c:pt idx="12">
                  <c:v>1.5231659039517402</c:v>
                </c:pt>
                <c:pt idx="13">
                  <c:v>1.7273545326217228</c:v>
                </c:pt>
                <c:pt idx="14">
                  <c:v>1.5830004248936034</c:v>
                </c:pt>
                <c:pt idx="15">
                  <c:v>1.6793141391003785</c:v>
                </c:pt>
                <c:pt idx="16">
                  <c:v>1.5830004248936034</c:v>
                </c:pt>
                <c:pt idx="17">
                  <c:v>1.7220780455402211</c:v>
                </c:pt>
                <c:pt idx="18">
                  <c:v>1.3561902430122785</c:v>
                </c:pt>
                <c:pt idx="19">
                  <c:v>1.6587157201259763</c:v>
                </c:pt>
                <c:pt idx="20">
                  <c:v>1.5514111899929119</c:v>
                </c:pt>
                <c:pt idx="21">
                  <c:v>1.5493747226182144</c:v>
                </c:pt>
                <c:pt idx="22">
                  <c:v>1.6232848310256058</c:v>
                </c:pt>
                <c:pt idx="23">
                  <c:v>1.716614556744082</c:v>
                </c:pt>
                <c:pt idx="24">
                  <c:v>1.6936836973334053</c:v>
                </c:pt>
                <c:pt idx="25">
                  <c:v>1.8790494672861624</c:v>
                </c:pt>
                <c:pt idx="26">
                  <c:v>1.852014994661388</c:v>
                </c:pt>
                <c:pt idx="27">
                  <c:v>1.626826074355336</c:v>
                </c:pt>
                <c:pt idx="28">
                  <c:v>1.7399856295813905</c:v>
                </c:pt>
                <c:pt idx="29">
                  <c:v>1.8781616282696654</c:v>
                </c:pt>
                <c:pt idx="30">
                  <c:v>2.0035349502431195</c:v>
                </c:pt>
                <c:pt idx="31">
                  <c:v>1.8262333393844801</c:v>
                </c:pt>
                <c:pt idx="32">
                  <c:v>1.8262333393844801</c:v>
                </c:pt>
                <c:pt idx="33">
                  <c:v>1.9487080755010693</c:v>
                </c:pt>
                <c:pt idx="34">
                  <c:v>2.0129229988806419</c:v>
                </c:pt>
                <c:pt idx="35">
                  <c:v>1.3126778853654595</c:v>
                </c:pt>
                <c:pt idx="36">
                  <c:v>1.263063044969841</c:v>
                </c:pt>
                <c:pt idx="37">
                  <c:v>1.3730013800122993</c:v>
                </c:pt>
                <c:pt idx="38">
                  <c:v>1.3628143380144555</c:v>
                </c:pt>
                <c:pt idx="39">
                  <c:v>1.2208659125247521</c:v>
                </c:pt>
                <c:pt idx="40">
                  <c:v>1.4127954613490412</c:v>
                </c:pt>
                <c:pt idx="41">
                  <c:v>1.25168763825778</c:v>
                </c:pt>
                <c:pt idx="42">
                  <c:v>1.3621821640044685</c:v>
                </c:pt>
                <c:pt idx="43">
                  <c:v>1.4861210280449648</c:v>
                </c:pt>
                <c:pt idx="44">
                  <c:v>1.3026175252243997</c:v>
                </c:pt>
                <c:pt idx="45">
                  <c:v>1.2415779306265233</c:v>
                </c:pt>
                <c:pt idx="46">
                  <c:v>1.299152944931927</c:v>
                </c:pt>
                <c:pt idx="47">
                  <c:v>1.3379905526229894</c:v>
                </c:pt>
                <c:pt idx="48">
                  <c:v>1.3327321017560976</c:v>
                </c:pt>
                <c:pt idx="49">
                  <c:v>1.3363760241966123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6B5-4C49-B695-7219545057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6768735"/>
        <c:axId val="55166623"/>
      </c:scatterChart>
      <c:valAx>
        <c:axId val="3567687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166623"/>
        <c:crosses val="autoZero"/>
        <c:crossBetween val="midCat"/>
      </c:valAx>
      <c:valAx>
        <c:axId val="55166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67687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Sheet1!$H$1</c:f>
              <c:strCache>
                <c:ptCount val="1"/>
                <c:pt idx="0">
                  <c:v>X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Sheet1!$A$2:$A$70</c:f>
              <c:strCache>
                <c:ptCount val="50"/>
                <c:pt idx="0">
                  <c:v>WMS04</c:v>
                </c:pt>
                <c:pt idx="1">
                  <c:v>WMS05</c:v>
                </c:pt>
                <c:pt idx="2">
                  <c:v>WMS06</c:v>
                </c:pt>
                <c:pt idx="3">
                  <c:v>WMS07</c:v>
                </c:pt>
                <c:pt idx="4">
                  <c:v>WMS09</c:v>
                </c:pt>
                <c:pt idx="5">
                  <c:v>WMS13</c:v>
                </c:pt>
                <c:pt idx="6">
                  <c:v>WMS14</c:v>
                </c:pt>
                <c:pt idx="7">
                  <c:v>WMS15</c:v>
                </c:pt>
                <c:pt idx="8">
                  <c:v>WMS16</c:v>
                </c:pt>
                <c:pt idx="9">
                  <c:v>WMS17</c:v>
                </c:pt>
                <c:pt idx="10">
                  <c:v>WMS18</c:v>
                </c:pt>
                <c:pt idx="11">
                  <c:v>WMS19</c:v>
                </c:pt>
                <c:pt idx="12">
                  <c:v>WMS20</c:v>
                </c:pt>
                <c:pt idx="13">
                  <c:v>WMS22</c:v>
                </c:pt>
                <c:pt idx="14">
                  <c:v>WMS23</c:v>
                </c:pt>
                <c:pt idx="15">
                  <c:v>WMS24</c:v>
                </c:pt>
                <c:pt idx="16">
                  <c:v>WMS25</c:v>
                </c:pt>
                <c:pt idx="17">
                  <c:v>WMS26</c:v>
                </c:pt>
                <c:pt idx="18">
                  <c:v>WMS27</c:v>
                </c:pt>
                <c:pt idx="19">
                  <c:v>WMS29</c:v>
                </c:pt>
                <c:pt idx="20">
                  <c:v>WMS30</c:v>
                </c:pt>
                <c:pt idx="21">
                  <c:v>WMS32</c:v>
                </c:pt>
                <c:pt idx="22">
                  <c:v>WMS33</c:v>
                </c:pt>
                <c:pt idx="23">
                  <c:v>WMS34</c:v>
                </c:pt>
                <c:pt idx="24">
                  <c:v>WMS35</c:v>
                </c:pt>
                <c:pt idx="25">
                  <c:v>WMS36</c:v>
                </c:pt>
                <c:pt idx="26">
                  <c:v>WMS37</c:v>
                </c:pt>
                <c:pt idx="27">
                  <c:v>WMS38</c:v>
                </c:pt>
                <c:pt idx="28">
                  <c:v>WMS39</c:v>
                </c:pt>
                <c:pt idx="29">
                  <c:v>WMS47</c:v>
                </c:pt>
                <c:pt idx="30">
                  <c:v>WMS48</c:v>
                </c:pt>
                <c:pt idx="31">
                  <c:v>WMS49</c:v>
                </c:pt>
                <c:pt idx="32">
                  <c:v>WMS50</c:v>
                </c:pt>
                <c:pt idx="33">
                  <c:v>WMS52</c:v>
                </c:pt>
                <c:pt idx="34">
                  <c:v>WMS53</c:v>
                </c:pt>
                <c:pt idx="35">
                  <c:v>WMS54</c:v>
                </c:pt>
                <c:pt idx="36">
                  <c:v>WMS55</c:v>
                </c:pt>
                <c:pt idx="37">
                  <c:v>WMS56</c:v>
                </c:pt>
                <c:pt idx="38">
                  <c:v>WMS59</c:v>
                </c:pt>
                <c:pt idx="39">
                  <c:v>WMS60</c:v>
                </c:pt>
                <c:pt idx="40">
                  <c:v>WMS61</c:v>
                </c:pt>
                <c:pt idx="41">
                  <c:v>WMS62</c:v>
                </c:pt>
                <c:pt idx="42">
                  <c:v>WMS64</c:v>
                </c:pt>
                <c:pt idx="43">
                  <c:v>WMS65</c:v>
                </c:pt>
                <c:pt idx="44">
                  <c:v>WMS66</c:v>
                </c:pt>
                <c:pt idx="45">
                  <c:v>WMS67</c:v>
                </c:pt>
                <c:pt idx="46">
                  <c:v>WMS68</c:v>
                </c:pt>
                <c:pt idx="47">
                  <c:v>WMS69</c:v>
                </c:pt>
                <c:pt idx="48">
                  <c:v>WMS70</c:v>
                </c:pt>
                <c:pt idx="49">
                  <c:v>WMS71</c:v>
                </c:pt>
              </c:strCache>
            </c:strRef>
          </c:cat>
          <c:val>
            <c:numRef>
              <c:f>Sheet1!$H$2:$H$70</c:f>
              <c:numCache>
                <c:formatCode>General</c:formatCode>
                <c:ptCount val="69"/>
                <c:pt idx="0">
                  <c:v>1.4280963392209485</c:v>
                </c:pt>
                <c:pt idx="1">
                  <c:v>1.4683911786443546</c:v>
                </c:pt>
                <c:pt idx="2">
                  <c:v>1.4806649980493995</c:v>
                </c:pt>
                <c:pt idx="3">
                  <c:v>1.5630631466495966</c:v>
                </c:pt>
                <c:pt idx="4">
                  <c:v>1.575149555088895</c:v>
                </c:pt>
                <c:pt idx="5">
                  <c:v>1.5279706370880357</c:v>
                </c:pt>
                <c:pt idx="6">
                  <c:v>1.6971423464228741</c:v>
                </c:pt>
                <c:pt idx="7">
                  <c:v>1.7016757526706685</c:v>
                </c:pt>
                <c:pt idx="8">
                  <c:v>1.6474218155541922</c:v>
                </c:pt>
                <c:pt idx="9">
                  <c:v>1.7345921167322693</c:v>
                </c:pt>
                <c:pt idx="10">
                  <c:v>1.6587483181174445</c:v>
                </c:pt>
                <c:pt idx="11">
                  <c:v>1.5684490895098726</c:v>
                </c:pt>
                <c:pt idx="12">
                  <c:v>1.5231659039517402</c:v>
                </c:pt>
                <c:pt idx="13">
                  <c:v>1.7273545326217228</c:v>
                </c:pt>
                <c:pt idx="14">
                  <c:v>1.5830004248936034</c:v>
                </c:pt>
                <c:pt idx="15">
                  <c:v>1.6793141391003785</c:v>
                </c:pt>
                <c:pt idx="16">
                  <c:v>1.5830004248936034</c:v>
                </c:pt>
                <c:pt idx="17">
                  <c:v>1.7220780455402211</c:v>
                </c:pt>
                <c:pt idx="18">
                  <c:v>1.3561902430122785</c:v>
                </c:pt>
                <c:pt idx="19">
                  <c:v>1.6587157201259763</c:v>
                </c:pt>
                <c:pt idx="20">
                  <c:v>1.5514111899929119</c:v>
                </c:pt>
                <c:pt idx="21">
                  <c:v>1.5493747226182144</c:v>
                </c:pt>
                <c:pt idx="22">
                  <c:v>1.6232848310256058</c:v>
                </c:pt>
                <c:pt idx="23">
                  <c:v>1.716614556744082</c:v>
                </c:pt>
                <c:pt idx="24">
                  <c:v>1.6936836973334053</c:v>
                </c:pt>
                <c:pt idx="25">
                  <c:v>1.8790494672861624</c:v>
                </c:pt>
                <c:pt idx="26">
                  <c:v>1.852014994661388</c:v>
                </c:pt>
                <c:pt idx="27">
                  <c:v>1.626826074355336</c:v>
                </c:pt>
                <c:pt idx="28">
                  <c:v>1.7399856295813905</c:v>
                </c:pt>
                <c:pt idx="29">
                  <c:v>1.8781616282696654</c:v>
                </c:pt>
                <c:pt idx="30">
                  <c:v>2.0035349502431195</c:v>
                </c:pt>
                <c:pt idx="31">
                  <c:v>1.8262333393844801</c:v>
                </c:pt>
                <c:pt idx="32">
                  <c:v>1.8262333393844801</c:v>
                </c:pt>
                <c:pt idx="33">
                  <c:v>1.9487080755010693</c:v>
                </c:pt>
                <c:pt idx="34">
                  <c:v>2.0129229988806419</c:v>
                </c:pt>
                <c:pt idx="35">
                  <c:v>1.3126778853654595</c:v>
                </c:pt>
                <c:pt idx="36">
                  <c:v>1.263063044969841</c:v>
                </c:pt>
                <c:pt idx="37">
                  <c:v>1.3730013800122993</c:v>
                </c:pt>
                <c:pt idx="38">
                  <c:v>1.3628143380144555</c:v>
                </c:pt>
                <c:pt idx="39">
                  <c:v>1.2208659125247521</c:v>
                </c:pt>
                <c:pt idx="40">
                  <c:v>1.4127954613490412</c:v>
                </c:pt>
                <c:pt idx="41">
                  <c:v>1.25168763825778</c:v>
                </c:pt>
                <c:pt idx="42">
                  <c:v>1.3621821640044685</c:v>
                </c:pt>
                <c:pt idx="43">
                  <c:v>1.4861210280449648</c:v>
                </c:pt>
                <c:pt idx="44">
                  <c:v>1.3026175252243997</c:v>
                </c:pt>
                <c:pt idx="45">
                  <c:v>1.2415779306265233</c:v>
                </c:pt>
                <c:pt idx="46">
                  <c:v>1.299152944931927</c:v>
                </c:pt>
                <c:pt idx="47">
                  <c:v>1.3379905526229894</c:v>
                </c:pt>
                <c:pt idx="48">
                  <c:v>1.3327321017560976</c:v>
                </c:pt>
                <c:pt idx="49">
                  <c:v>1.3363760241966123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A7C-44CD-B8CE-A2C7A63BC912}"/>
            </c:ext>
          </c:extLst>
        </c:ser>
        <c:ser>
          <c:idx val="2"/>
          <c:order val="2"/>
          <c:tx>
            <c:strRef>
              <c:f>Sheet1!$I$1:$I$51</c:f>
              <c:strCache>
                <c:ptCount val="51"/>
                <c:pt idx="0">
                  <c:v>X2</c:v>
                </c:pt>
                <c:pt idx="1">
                  <c:v>1.428549065</c:v>
                </c:pt>
                <c:pt idx="2">
                  <c:v>1.469985895</c:v>
                </c:pt>
                <c:pt idx="3">
                  <c:v>1.483693255</c:v>
                </c:pt>
                <c:pt idx="4">
                  <c:v>1.568200618</c:v>
                </c:pt>
                <c:pt idx="5">
                  <c:v>1.581707158</c:v>
                </c:pt>
                <c:pt idx="6">
                  <c:v>1.540854957</c:v>
                </c:pt>
                <c:pt idx="7">
                  <c:v>1.714605034</c:v>
                </c:pt>
                <c:pt idx="8">
                  <c:v>1.720512309</c:v>
                </c:pt>
                <c:pt idx="9">
                  <c:v>1.665122261</c:v>
                </c:pt>
                <c:pt idx="10">
                  <c:v>1.761972399</c:v>
                </c:pt>
                <c:pt idx="11">
                  <c:v>1.673105801</c:v>
                </c:pt>
                <c:pt idx="12">
                  <c:v>1.580685419</c:v>
                </c:pt>
                <c:pt idx="13">
                  <c:v>1.535783443</c:v>
                </c:pt>
                <c:pt idx="14">
                  <c:v>1.752309334</c:v>
                </c:pt>
                <c:pt idx="15">
                  <c:v>1.597939387</c:v>
                </c:pt>
                <c:pt idx="16">
                  <c:v>1.698460642</c:v>
                </c:pt>
                <c:pt idx="17">
                  <c:v>1.597939387</c:v>
                </c:pt>
                <c:pt idx="18">
                  <c:v>1.740309294</c:v>
                </c:pt>
                <c:pt idx="19">
                  <c:v>1.367262006</c:v>
                </c:pt>
                <c:pt idx="20">
                  <c:v>1.672754293</c:v>
                </c:pt>
                <c:pt idx="21">
                  <c:v>1.561538461</c:v>
                </c:pt>
                <c:pt idx="22">
                  <c:v>1.558512811</c:v>
                </c:pt>
                <c:pt idx="23">
                  <c:v>1.640688003</c:v>
                </c:pt>
                <c:pt idx="24">
                  <c:v>1.736579726</c:v>
                </c:pt>
                <c:pt idx="25">
                  <c:v>1.712770789</c:v>
                </c:pt>
                <c:pt idx="26">
                  <c:v>1.89531757</c:v>
                </c:pt>
                <c:pt idx="27">
                  <c:v>1.880265122</c:v>
                </c:pt>
                <c:pt idx="28">
                  <c:v>1.647207965</c:v>
                </c:pt>
                <c:pt idx="29">
                  <c:v>1.762793829</c:v>
                </c:pt>
                <c:pt idx="30">
                  <c:v>1.908442805</c:v>
                </c:pt>
                <c:pt idx="31">
                  <c:v>2.038307455</c:v>
                </c:pt>
                <c:pt idx="32">
                  <c:v>1.858598582</c:v>
                </c:pt>
                <c:pt idx="33">
                  <c:v>1.858598582</c:v>
                </c:pt>
                <c:pt idx="34">
                  <c:v>1.978539934</c:v>
                </c:pt>
                <c:pt idx="35">
                  <c:v>2.047903981</c:v>
                </c:pt>
                <c:pt idx="36">
                  <c:v>1.320901473</c:v>
                </c:pt>
                <c:pt idx="37">
                  <c:v>1.270465844</c:v>
                </c:pt>
                <c:pt idx="38">
                  <c:v>1.384664499</c:v>
                </c:pt>
                <c:pt idx="39">
                  <c:v>1.385621926</c:v>
                </c:pt>
                <c:pt idx="40">
                  <c:v>1.224087435</c:v>
                </c:pt>
                <c:pt idx="41">
                  <c:v>1.422547639</c:v>
                </c:pt>
                <c:pt idx="42">
                  <c:v>1.256471639</c:v>
                </c:pt>
                <c:pt idx="43">
                  <c:v>1.368217713</c:v>
                </c:pt>
                <c:pt idx="44">
                  <c:v>1.521372036</c:v>
                </c:pt>
                <c:pt idx="45">
                  <c:v>1.314400711</c:v>
                </c:pt>
                <c:pt idx="46">
                  <c:v>1.246891842</c:v>
                </c:pt>
                <c:pt idx="47">
                  <c:v>1.31096714</c:v>
                </c:pt>
                <c:pt idx="48">
                  <c:v>1.34222552</c:v>
                </c:pt>
                <c:pt idx="49">
                  <c:v>1.33781183</c:v>
                </c:pt>
                <c:pt idx="50">
                  <c:v>1.341181923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Sheet1!$I$1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A52-4D26-BB47-6E51447D71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6286607"/>
        <c:axId val="127293951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Sheet1!$B$1</c15:sqref>
                        </c15:formulaRef>
                      </c:ext>
                    </c:extLst>
                    <c:strCache>
                      <c:ptCount val="1"/>
                      <c:pt idx="0">
                        <c:v>SPM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Sheet1!$A$2:$A$70</c15:sqref>
                        </c15:formulaRef>
                      </c:ext>
                    </c:extLst>
                    <c:strCache>
                      <c:ptCount val="50"/>
                      <c:pt idx="0">
                        <c:v>WMS04</c:v>
                      </c:pt>
                      <c:pt idx="1">
                        <c:v>WMS05</c:v>
                      </c:pt>
                      <c:pt idx="2">
                        <c:v>WMS06</c:v>
                      </c:pt>
                      <c:pt idx="3">
                        <c:v>WMS07</c:v>
                      </c:pt>
                      <c:pt idx="4">
                        <c:v>WMS09</c:v>
                      </c:pt>
                      <c:pt idx="5">
                        <c:v>WMS13</c:v>
                      </c:pt>
                      <c:pt idx="6">
                        <c:v>WMS14</c:v>
                      </c:pt>
                      <c:pt idx="7">
                        <c:v>WMS15</c:v>
                      </c:pt>
                      <c:pt idx="8">
                        <c:v>WMS16</c:v>
                      </c:pt>
                      <c:pt idx="9">
                        <c:v>WMS17</c:v>
                      </c:pt>
                      <c:pt idx="10">
                        <c:v>WMS18</c:v>
                      </c:pt>
                      <c:pt idx="11">
                        <c:v>WMS19</c:v>
                      </c:pt>
                      <c:pt idx="12">
                        <c:v>WMS20</c:v>
                      </c:pt>
                      <c:pt idx="13">
                        <c:v>WMS22</c:v>
                      </c:pt>
                      <c:pt idx="14">
                        <c:v>WMS23</c:v>
                      </c:pt>
                      <c:pt idx="15">
                        <c:v>WMS24</c:v>
                      </c:pt>
                      <c:pt idx="16">
                        <c:v>WMS25</c:v>
                      </c:pt>
                      <c:pt idx="17">
                        <c:v>WMS26</c:v>
                      </c:pt>
                      <c:pt idx="18">
                        <c:v>WMS27</c:v>
                      </c:pt>
                      <c:pt idx="19">
                        <c:v>WMS29</c:v>
                      </c:pt>
                      <c:pt idx="20">
                        <c:v>WMS30</c:v>
                      </c:pt>
                      <c:pt idx="21">
                        <c:v>WMS32</c:v>
                      </c:pt>
                      <c:pt idx="22">
                        <c:v>WMS33</c:v>
                      </c:pt>
                      <c:pt idx="23">
                        <c:v>WMS34</c:v>
                      </c:pt>
                      <c:pt idx="24">
                        <c:v>WMS35</c:v>
                      </c:pt>
                      <c:pt idx="25">
                        <c:v>WMS36</c:v>
                      </c:pt>
                      <c:pt idx="26">
                        <c:v>WMS37</c:v>
                      </c:pt>
                      <c:pt idx="27">
                        <c:v>WMS38</c:v>
                      </c:pt>
                      <c:pt idx="28">
                        <c:v>WMS39</c:v>
                      </c:pt>
                      <c:pt idx="29">
                        <c:v>WMS47</c:v>
                      </c:pt>
                      <c:pt idx="30">
                        <c:v>WMS48</c:v>
                      </c:pt>
                      <c:pt idx="31">
                        <c:v>WMS49</c:v>
                      </c:pt>
                      <c:pt idx="32">
                        <c:v>WMS50</c:v>
                      </c:pt>
                      <c:pt idx="33">
                        <c:v>WMS52</c:v>
                      </c:pt>
                      <c:pt idx="34">
                        <c:v>WMS53</c:v>
                      </c:pt>
                      <c:pt idx="35">
                        <c:v>WMS54</c:v>
                      </c:pt>
                      <c:pt idx="36">
                        <c:v>WMS55</c:v>
                      </c:pt>
                      <c:pt idx="37">
                        <c:v>WMS56</c:v>
                      </c:pt>
                      <c:pt idx="38">
                        <c:v>WMS59</c:v>
                      </c:pt>
                      <c:pt idx="39">
                        <c:v>WMS60</c:v>
                      </c:pt>
                      <c:pt idx="40">
                        <c:v>WMS61</c:v>
                      </c:pt>
                      <c:pt idx="41">
                        <c:v>WMS62</c:v>
                      </c:pt>
                      <c:pt idx="42">
                        <c:v>WMS64</c:v>
                      </c:pt>
                      <c:pt idx="43">
                        <c:v>WMS65</c:v>
                      </c:pt>
                      <c:pt idx="44">
                        <c:v>WMS66</c:v>
                      </c:pt>
                      <c:pt idx="45">
                        <c:v>WMS67</c:v>
                      </c:pt>
                      <c:pt idx="46">
                        <c:v>WMS68</c:v>
                      </c:pt>
                      <c:pt idx="47">
                        <c:v>WMS69</c:v>
                      </c:pt>
                      <c:pt idx="48">
                        <c:v>WMS70</c:v>
                      </c:pt>
                      <c:pt idx="49">
                        <c:v>WMS71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Sheet1!$B$2:$B$70</c15:sqref>
                        </c15:formulaRef>
                      </c:ext>
                    </c:extLst>
                    <c:numCache>
                      <c:formatCode>General</c:formatCode>
                      <c:ptCount val="69"/>
                      <c:pt idx="0">
                        <c:v>36.000000000000036</c:v>
                      </c:pt>
                      <c:pt idx="1">
                        <c:v>36</c:v>
                      </c:pt>
                      <c:pt idx="2">
                        <c:v>35.000000000000043</c:v>
                      </c:pt>
                      <c:pt idx="3">
                        <c:v>29.999999999999972</c:v>
                      </c:pt>
                      <c:pt idx="4">
                        <c:v>28.249999999999954</c:v>
                      </c:pt>
                      <c:pt idx="5">
                        <c:v>49.5</c:v>
                      </c:pt>
                      <c:pt idx="6">
                        <c:v>46.750000000000028</c:v>
                      </c:pt>
                      <c:pt idx="7">
                        <c:v>44.5</c:v>
                      </c:pt>
                      <c:pt idx="8">
                        <c:v>41.749999999999957</c:v>
                      </c:pt>
                      <c:pt idx="9">
                        <c:v>46.499999999999986</c:v>
                      </c:pt>
                      <c:pt idx="10">
                        <c:v>43.49999999999995</c:v>
                      </c:pt>
                      <c:pt idx="11">
                        <c:v>43.999999999999964</c:v>
                      </c:pt>
                      <c:pt idx="12">
                        <c:v>46.250000000000064</c:v>
                      </c:pt>
                      <c:pt idx="13">
                        <c:v>46.500000000000036</c:v>
                      </c:pt>
                      <c:pt idx="14">
                        <c:v>45.749999999999957</c:v>
                      </c:pt>
                      <c:pt idx="15">
                        <c:v>43.499999999999993</c:v>
                      </c:pt>
                      <c:pt idx="16">
                        <c:v>40.50000000000005</c:v>
                      </c:pt>
                      <c:pt idx="17">
                        <c:v>45.999999999999929</c:v>
                      </c:pt>
                      <c:pt idx="18">
                        <c:v>28.499999999999986</c:v>
                      </c:pt>
                      <c:pt idx="19">
                        <c:v>44.250000000000021</c:v>
                      </c:pt>
                      <c:pt idx="20">
                        <c:v>41.500000000000043</c:v>
                      </c:pt>
                      <c:pt idx="21">
                        <c:v>49.000000000000028</c:v>
                      </c:pt>
                      <c:pt idx="22">
                        <c:v>45.75</c:v>
                      </c:pt>
                      <c:pt idx="23">
                        <c:v>47.500000000000014</c:v>
                      </c:pt>
                      <c:pt idx="24">
                        <c:v>55.249999999999986</c:v>
                      </c:pt>
                      <c:pt idx="25">
                        <c:v>50.249999999999957</c:v>
                      </c:pt>
                      <c:pt idx="26">
                        <c:v>49.25</c:v>
                      </c:pt>
                      <c:pt idx="27">
                        <c:v>53.749999999999986</c:v>
                      </c:pt>
                      <c:pt idx="28">
                        <c:v>47.499999999999915</c:v>
                      </c:pt>
                      <c:pt idx="29">
                        <c:v>70.749999999999972</c:v>
                      </c:pt>
                      <c:pt idx="30">
                        <c:v>62.250000000000007</c:v>
                      </c:pt>
                      <c:pt idx="31">
                        <c:v>58.249999999999972</c:v>
                      </c:pt>
                      <c:pt idx="32">
                        <c:v>47.25</c:v>
                      </c:pt>
                      <c:pt idx="33">
                        <c:v>60.500000000000057</c:v>
                      </c:pt>
                      <c:pt idx="34">
                        <c:v>64.25</c:v>
                      </c:pt>
                      <c:pt idx="35">
                        <c:v>23.999999999999989</c:v>
                      </c:pt>
                      <c:pt idx="36">
                        <c:v>20.000000000000011</c:v>
                      </c:pt>
                      <c:pt idx="37">
                        <c:v>18.750000000000011</c:v>
                      </c:pt>
                      <c:pt idx="38">
                        <c:v>29.49999999999994</c:v>
                      </c:pt>
                      <c:pt idx="39">
                        <c:v>28.000000000000039</c:v>
                      </c:pt>
                      <c:pt idx="40">
                        <c:v>28.499999999999979</c:v>
                      </c:pt>
                      <c:pt idx="41">
                        <c:v>27.49999999999995</c:v>
                      </c:pt>
                      <c:pt idx="42">
                        <c:v>32.500000000000028</c:v>
                      </c:pt>
                      <c:pt idx="43">
                        <c:v>33.500000000000057</c:v>
                      </c:pt>
                      <c:pt idx="44">
                        <c:v>32.500000000000021</c:v>
                      </c:pt>
                      <c:pt idx="45">
                        <c:v>32.250000000000057</c:v>
                      </c:pt>
                      <c:pt idx="46">
                        <c:v>27.500000000000021</c:v>
                      </c:pt>
                      <c:pt idx="47">
                        <c:v>33.000000000000043</c:v>
                      </c:pt>
                      <c:pt idx="48">
                        <c:v>35.5</c:v>
                      </c:pt>
                      <c:pt idx="49">
                        <c:v>30.500000000000039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7A7C-44CD-B8CE-A2C7A63BC912}"/>
                  </c:ext>
                </c:extLst>
              </c15:ser>
            </c15:filteredLineSeries>
          </c:ext>
        </c:extLst>
      </c:lineChart>
      <c:catAx>
        <c:axId val="1862866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293951"/>
        <c:crosses val="autoZero"/>
        <c:auto val="1"/>
        <c:lblAlgn val="ctr"/>
        <c:lblOffset val="100"/>
        <c:noMultiLvlLbl val="0"/>
      </c:catAx>
      <c:valAx>
        <c:axId val="127293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2866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SPM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Sheet1!$A$2:$A$51</c:f>
              <c:strCache>
                <c:ptCount val="50"/>
                <c:pt idx="0">
                  <c:v>WMS04</c:v>
                </c:pt>
                <c:pt idx="1">
                  <c:v>WMS05</c:v>
                </c:pt>
                <c:pt idx="2">
                  <c:v>WMS06</c:v>
                </c:pt>
                <c:pt idx="3">
                  <c:v>WMS07</c:v>
                </c:pt>
                <c:pt idx="4">
                  <c:v>WMS09</c:v>
                </c:pt>
                <c:pt idx="5">
                  <c:v>WMS13</c:v>
                </c:pt>
                <c:pt idx="6">
                  <c:v>WMS14</c:v>
                </c:pt>
                <c:pt idx="7">
                  <c:v>WMS15</c:v>
                </c:pt>
                <c:pt idx="8">
                  <c:v>WMS16</c:v>
                </c:pt>
                <c:pt idx="9">
                  <c:v>WMS17</c:v>
                </c:pt>
                <c:pt idx="10">
                  <c:v>WMS18</c:v>
                </c:pt>
                <c:pt idx="11">
                  <c:v>WMS19</c:v>
                </c:pt>
                <c:pt idx="12">
                  <c:v>WMS20</c:v>
                </c:pt>
                <c:pt idx="13">
                  <c:v>WMS22</c:v>
                </c:pt>
                <c:pt idx="14">
                  <c:v>WMS23</c:v>
                </c:pt>
                <c:pt idx="15">
                  <c:v>WMS24</c:v>
                </c:pt>
                <c:pt idx="16">
                  <c:v>WMS25</c:v>
                </c:pt>
                <c:pt idx="17">
                  <c:v>WMS26</c:v>
                </c:pt>
                <c:pt idx="18">
                  <c:v>WMS27</c:v>
                </c:pt>
                <c:pt idx="19">
                  <c:v>WMS29</c:v>
                </c:pt>
                <c:pt idx="20">
                  <c:v>WMS30</c:v>
                </c:pt>
                <c:pt idx="21">
                  <c:v>WMS32</c:v>
                </c:pt>
                <c:pt idx="22">
                  <c:v>WMS33</c:v>
                </c:pt>
                <c:pt idx="23">
                  <c:v>WMS34</c:v>
                </c:pt>
                <c:pt idx="24">
                  <c:v>WMS35</c:v>
                </c:pt>
                <c:pt idx="25">
                  <c:v>WMS36</c:v>
                </c:pt>
                <c:pt idx="26">
                  <c:v>WMS37</c:v>
                </c:pt>
                <c:pt idx="27">
                  <c:v>WMS38</c:v>
                </c:pt>
                <c:pt idx="28">
                  <c:v>WMS39</c:v>
                </c:pt>
                <c:pt idx="29">
                  <c:v>WMS47</c:v>
                </c:pt>
                <c:pt idx="30">
                  <c:v>WMS48</c:v>
                </c:pt>
                <c:pt idx="31">
                  <c:v>WMS49</c:v>
                </c:pt>
                <c:pt idx="32">
                  <c:v>WMS50</c:v>
                </c:pt>
                <c:pt idx="33">
                  <c:v>WMS52</c:v>
                </c:pt>
                <c:pt idx="34">
                  <c:v>WMS53</c:v>
                </c:pt>
                <c:pt idx="35">
                  <c:v>WMS54</c:v>
                </c:pt>
                <c:pt idx="36">
                  <c:v>WMS55</c:v>
                </c:pt>
                <c:pt idx="37">
                  <c:v>WMS56</c:v>
                </c:pt>
                <c:pt idx="38">
                  <c:v>WMS59</c:v>
                </c:pt>
                <c:pt idx="39">
                  <c:v>WMS60</c:v>
                </c:pt>
                <c:pt idx="40">
                  <c:v>WMS61</c:v>
                </c:pt>
                <c:pt idx="41">
                  <c:v>WMS62</c:v>
                </c:pt>
                <c:pt idx="42">
                  <c:v>WMS64</c:v>
                </c:pt>
                <c:pt idx="43">
                  <c:v>WMS65</c:v>
                </c:pt>
                <c:pt idx="44">
                  <c:v>WMS66</c:v>
                </c:pt>
                <c:pt idx="45">
                  <c:v>WMS67</c:v>
                </c:pt>
                <c:pt idx="46">
                  <c:v>WMS68</c:v>
                </c:pt>
                <c:pt idx="47">
                  <c:v>WMS69</c:v>
                </c:pt>
                <c:pt idx="48">
                  <c:v>WMS70</c:v>
                </c:pt>
                <c:pt idx="49">
                  <c:v>WMS71</c:v>
                </c:pt>
              </c:strCache>
            </c:strRef>
          </c:cat>
          <c:val>
            <c:numRef>
              <c:f>Sheet1!$B$2:$B$51</c:f>
              <c:numCache>
                <c:formatCode>General</c:formatCode>
                <c:ptCount val="50"/>
                <c:pt idx="0">
                  <c:v>36.000000000000036</c:v>
                </c:pt>
                <c:pt idx="1">
                  <c:v>36</c:v>
                </c:pt>
                <c:pt idx="2">
                  <c:v>35.000000000000043</c:v>
                </c:pt>
                <c:pt idx="3">
                  <c:v>29.999999999999972</c:v>
                </c:pt>
                <c:pt idx="4">
                  <c:v>28.249999999999954</c:v>
                </c:pt>
                <c:pt idx="5">
                  <c:v>49.5</c:v>
                </c:pt>
                <c:pt idx="6">
                  <c:v>46.750000000000028</c:v>
                </c:pt>
                <c:pt idx="7">
                  <c:v>44.5</c:v>
                </c:pt>
                <c:pt idx="8">
                  <c:v>41.749999999999957</c:v>
                </c:pt>
                <c:pt idx="9">
                  <c:v>46.499999999999986</c:v>
                </c:pt>
                <c:pt idx="10">
                  <c:v>43.49999999999995</c:v>
                </c:pt>
                <c:pt idx="11">
                  <c:v>43.999999999999964</c:v>
                </c:pt>
                <c:pt idx="12">
                  <c:v>46.250000000000064</c:v>
                </c:pt>
                <c:pt idx="13">
                  <c:v>46.500000000000036</c:v>
                </c:pt>
                <c:pt idx="14">
                  <c:v>45.749999999999957</c:v>
                </c:pt>
                <c:pt idx="15">
                  <c:v>43.499999999999993</c:v>
                </c:pt>
                <c:pt idx="16">
                  <c:v>40.50000000000005</c:v>
                </c:pt>
                <c:pt idx="17">
                  <c:v>45.999999999999929</c:v>
                </c:pt>
                <c:pt idx="18">
                  <c:v>28.499999999999986</c:v>
                </c:pt>
                <c:pt idx="19">
                  <c:v>44.250000000000021</c:v>
                </c:pt>
                <c:pt idx="20">
                  <c:v>41.500000000000043</c:v>
                </c:pt>
                <c:pt idx="21">
                  <c:v>49.000000000000028</c:v>
                </c:pt>
                <c:pt idx="22">
                  <c:v>45.75</c:v>
                </c:pt>
                <c:pt idx="23">
                  <c:v>47.500000000000014</c:v>
                </c:pt>
                <c:pt idx="24">
                  <c:v>55.249999999999986</c:v>
                </c:pt>
                <c:pt idx="25">
                  <c:v>50.249999999999957</c:v>
                </c:pt>
                <c:pt idx="26">
                  <c:v>49.25</c:v>
                </c:pt>
                <c:pt idx="27">
                  <c:v>53.749999999999986</c:v>
                </c:pt>
                <c:pt idx="28">
                  <c:v>47.499999999999915</c:v>
                </c:pt>
                <c:pt idx="29">
                  <c:v>70.749999999999972</c:v>
                </c:pt>
                <c:pt idx="30">
                  <c:v>62.250000000000007</c:v>
                </c:pt>
                <c:pt idx="31">
                  <c:v>58.249999999999972</c:v>
                </c:pt>
                <c:pt idx="32">
                  <c:v>47.25</c:v>
                </c:pt>
                <c:pt idx="33">
                  <c:v>60.500000000000057</c:v>
                </c:pt>
                <c:pt idx="34">
                  <c:v>64.25</c:v>
                </c:pt>
                <c:pt idx="35">
                  <c:v>23.999999999999989</c:v>
                </c:pt>
                <c:pt idx="36">
                  <c:v>20.000000000000011</c:v>
                </c:pt>
                <c:pt idx="37">
                  <c:v>18.750000000000011</c:v>
                </c:pt>
                <c:pt idx="38">
                  <c:v>29.49999999999994</c:v>
                </c:pt>
                <c:pt idx="39">
                  <c:v>28.000000000000039</c:v>
                </c:pt>
                <c:pt idx="40">
                  <c:v>28.499999999999979</c:v>
                </c:pt>
                <c:pt idx="41">
                  <c:v>27.49999999999995</c:v>
                </c:pt>
                <c:pt idx="42">
                  <c:v>32.500000000000028</c:v>
                </c:pt>
                <c:pt idx="43">
                  <c:v>33.500000000000057</c:v>
                </c:pt>
                <c:pt idx="44">
                  <c:v>32.500000000000021</c:v>
                </c:pt>
                <c:pt idx="45">
                  <c:v>32.250000000000057</c:v>
                </c:pt>
                <c:pt idx="46">
                  <c:v>27.500000000000021</c:v>
                </c:pt>
                <c:pt idx="47">
                  <c:v>33.000000000000043</c:v>
                </c:pt>
                <c:pt idx="48">
                  <c:v>35.5</c:v>
                </c:pt>
                <c:pt idx="49">
                  <c:v>30.500000000000039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760-451D-BF93-85E267B964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13301183"/>
        <c:axId val="1060414319"/>
      </c:lineChart>
      <c:catAx>
        <c:axId val="12133011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0414319"/>
        <c:crosses val="autoZero"/>
        <c:auto val="1"/>
        <c:lblAlgn val="ctr"/>
        <c:lblOffset val="100"/>
        <c:noMultiLvlLbl val="0"/>
      </c:catAx>
      <c:valAx>
        <c:axId val="1060414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33011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SPM</c:v>
                </c:pt>
              </c:strCache>
            </c:strRef>
          </c:tx>
          <c:marker>
            <c:symbol val="none"/>
          </c:marker>
          <c:cat>
            <c:strRef>
              <c:f>Sheet1!$A$31:$A$51</c:f>
              <c:strCache>
                <c:ptCount val="21"/>
                <c:pt idx="0">
                  <c:v>WMS47</c:v>
                </c:pt>
                <c:pt idx="1">
                  <c:v>WMS48</c:v>
                </c:pt>
                <c:pt idx="2">
                  <c:v>WMS49</c:v>
                </c:pt>
                <c:pt idx="3">
                  <c:v>WMS50</c:v>
                </c:pt>
                <c:pt idx="4">
                  <c:v>WMS52</c:v>
                </c:pt>
                <c:pt idx="5">
                  <c:v>WMS53</c:v>
                </c:pt>
                <c:pt idx="6">
                  <c:v>WMS54</c:v>
                </c:pt>
                <c:pt idx="7">
                  <c:v>WMS55</c:v>
                </c:pt>
                <c:pt idx="8">
                  <c:v>WMS56</c:v>
                </c:pt>
                <c:pt idx="9">
                  <c:v>WMS59</c:v>
                </c:pt>
                <c:pt idx="10">
                  <c:v>WMS60</c:v>
                </c:pt>
                <c:pt idx="11">
                  <c:v>WMS61</c:v>
                </c:pt>
                <c:pt idx="12">
                  <c:v>WMS62</c:v>
                </c:pt>
                <c:pt idx="13">
                  <c:v>WMS64</c:v>
                </c:pt>
                <c:pt idx="14">
                  <c:v>WMS65</c:v>
                </c:pt>
                <c:pt idx="15">
                  <c:v>WMS66</c:v>
                </c:pt>
                <c:pt idx="16">
                  <c:v>WMS67</c:v>
                </c:pt>
                <c:pt idx="17">
                  <c:v>WMS68</c:v>
                </c:pt>
                <c:pt idx="18">
                  <c:v>WMS69</c:v>
                </c:pt>
                <c:pt idx="19">
                  <c:v>WMS70</c:v>
                </c:pt>
                <c:pt idx="20">
                  <c:v>WMS71</c:v>
                </c:pt>
              </c:strCache>
            </c:strRef>
          </c:cat>
          <c:val>
            <c:numRef>
              <c:f>Sheet1!$B$31:$B$51</c:f>
              <c:numCache>
                <c:formatCode>General</c:formatCode>
                <c:ptCount val="21"/>
                <c:pt idx="0">
                  <c:v>70.749999999999972</c:v>
                </c:pt>
                <c:pt idx="1">
                  <c:v>62.250000000000007</c:v>
                </c:pt>
                <c:pt idx="2">
                  <c:v>58.249999999999972</c:v>
                </c:pt>
                <c:pt idx="3">
                  <c:v>47.25</c:v>
                </c:pt>
                <c:pt idx="4">
                  <c:v>60.500000000000057</c:v>
                </c:pt>
                <c:pt idx="5">
                  <c:v>64.25</c:v>
                </c:pt>
                <c:pt idx="6">
                  <c:v>23.999999999999989</c:v>
                </c:pt>
                <c:pt idx="7">
                  <c:v>20.000000000000011</c:v>
                </c:pt>
                <c:pt idx="8">
                  <c:v>18.750000000000011</c:v>
                </c:pt>
                <c:pt idx="9">
                  <c:v>29.49999999999994</c:v>
                </c:pt>
                <c:pt idx="10">
                  <c:v>28.000000000000039</c:v>
                </c:pt>
                <c:pt idx="11">
                  <c:v>28.499999999999979</c:v>
                </c:pt>
                <c:pt idx="12">
                  <c:v>27.49999999999995</c:v>
                </c:pt>
                <c:pt idx="13">
                  <c:v>32.500000000000028</c:v>
                </c:pt>
                <c:pt idx="14">
                  <c:v>33.500000000000057</c:v>
                </c:pt>
                <c:pt idx="15">
                  <c:v>32.500000000000021</c:v>
                </c:pt>
                <c:pt idx="16">
                  <c:v>32.250000000000057</c:v>
                </c:pt>
                <c:pt idx="17">
                  <c:v>27.500000000000021</c:v>
                </c:pt>
                <c:pt idx="18">
                  <c:v>33.000000000000043</c:v>
                </c:pt>
                <c:pt idx="19">
                  <c:v>35.5</c:v>
                </c:pt>
                <c:pt idx="20">
                  <c:v>30.500000000000039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EFE-4FDD-AA13-7D33EA043A9E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Blue 482</c:v>
                </c:pt>
              </c:strCache>
            </c:strRef>
          </c:tx>
          <c:marker>
            <c:symbol val="none"/>
          </c:marker>
          <c:cat>
            <c:strRef>
              <c:f>Sheet1!$A$31:$A$51</c:f>
              <c:strCache>
                <c:ptCount val="21"/>
                <c:pt idx="0">
                  <c:v>WMS47</c:v>
                </c:pt>
                <c:pt idx="1">
                  <c:v>WMS48</c:v>
                </c:pt>
                <c:pt idx="2">
                  <c:v>WMS49</c:v>
                </c:pt>
                <c:pt idx="3">
                  <c:v>WMS50</c:v>
                </c:pt>
                <c:pt idx="4">
                  <c:v>WMS52</c:v>
                </c:pt>
                <c:pt idx="5">
                  <c:v>WMS53</c:v>
                </c:pt>
                <c:pt idx="6">
                  <c:v>WMS54</c:v>
                </c:pt>
                <c:pt idx="7">
                  <c:v>WMS55</c:v>
                </c:pt>
                <c:pt idx="8">
                  <c:v>WMS56</c:v>
                </c:pt>
                <c:pt idx="9">
                  <c:v>WMS59</c:v>
                </c:pt>
                <c:pt idx="10">
                  <c:v>WMS60</c:v>
                </c:pt>
                <c:pt idx="11">
                  <c:v>WMS61</c:v>
                </c:pt>
                <c:pt idx="12">
                  <c:v>WMS62</c:v>
                </c:pt>
                <c:pt idx="13">
                  <c:v>WMS64</c:v>
                </c:pt>
                <c:pt idx="14">
                  <c:v>WMS65</c:v>
                </c:pt>
                <c:pt idx="15">
                  <c:v>WMS66</c:v>
                </c:pt>
                <c:pt idx="16">
                  <c:v>WMS67</c:v>
                </c:pt>
                <c:pt idx="17">
                  <c:v>WMS68</c:v>
                </c:pt>
                <c:pt idx="18">
                  <c:v>WMS69</c:v>
                </c:pt>
                <c:pt idx="19">
                  <c:v>WMS70</c:v>
                </c:pt>
                <c:pt idx="20">
                  <c:v>WMS71</c:v>
                </c:pt>
              </c:strCache>
            </c:strRef>
          </c:cat>
          <c:val>
            <c:numRef>
              <c:f>Sheet1!$C$31:$C$51</c:f>
              <c:numCache>
                <c:formatCode>General</c:formatCode>
                <c:ptCount val="21"/>
                <c:pt idx="0">
                  <c:v>2.2595455814129911E-3</c:v>
                </c:pt>
                <c:pt idx="1">
                  <c:v>2.4307239439691781E-3</c:v>
                </c:pt>
                <c:pt idx="2">
                  <c:v>2.453896058086985E-3</c:v>
                </c:pt>
                <c:pt idx="3">
                  <c:v>2.453896058086985E-3</c:v>
                </c:pt>
                <c:pt idx="4">
                  <c:v>3.7674819198200349E-3</c:v>
                </c:pt>
                <c:pt idx="5">
                  <c:v>3.8157784316496632E-3</c:v>
                </c:pt>
                <c:pt idx="6">
                  <c:v>3.7354425634437889E-3</c:v>
                </c:pt>
                <c:pt idx="7">
                  <c:v>3.1255862069854228E-3</c:v>
                </c:pt>
                <c:pt idx="8">
                  <c:v>3.3995557329501631E-3</c:v>
                </c:pt>
                <c:pt idx="9">
                  <c:v>3.456927930406094E-3</c:v>
                </c:pt>
                <c:pt idx="10">
                  <c:v>3.8870146971654528E-3</c:v>
                </c:pt>
                <c:pt idx="11">
                  <c:v>6.7706116888076899E-3</c:v>
                </c:pt>
                <c:pt idx="12">
                  <c:v>4.1580601327395458E-3</c:v>
                </c:pt>
                <c:pt idx="13">
                  <c:v>1.0221695784269839E-2</c:v>
                </c:pt>
                <c:pt idx="14">
                  <c:v>6.0545052159143549E-3</c:v>
                </c:pt>
                <c:pt idx="15">
                  <c:v>6.1764544685638618E-3</c:v>
                </c:pt>
                <c:pt idx="16">
                  <c:v>4.5602785568120054E-3</c:v>
                </c:pt>
                <c:pt idx="17">
                  <c:v>5.9962584208503762E-3</c:v>
                </c:pt>
                <c:pt idx="18">
                  <c:v>1.01021586190217E-2</c:v>
                </c:pt>
                <c:pt idx="19">
                  <c:v>1.006615267707673E-2</c:v>
                </c:pt>
                <c:pt idx="20">
                  <c:v>9.7867376335066987E-3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EFE-4FDD-AA13-7D33EA043A9E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Green 557</c:v>
                </c:pt>
              </c:strCache>
            </c:strRef>
          </c:tx>
          <c:marker>
            <c:symbol val="none"/>
          </c:marker>
          <c:cat>
            <c:strRef>
              <c:f>Sheet1!$A$31:$A$51</c:f>
              <c:strCache>
                <c:ptCount val="21"/>
                <c:pt idx="0">
                  <c:v>WMS47</c:v>
                </c:pt>
                <c:pt idx="1">
                  <c:v>WMS48</c:v>
                </c:pt>
                <c:pt idx="2">
                  <c:v>WMS49</c:v>
                </c:pt>
                <c:pt idx="3">
                  <c:v>WMS50</c:v>
                </c:pt>
                <c:pt idx="4">
                  <c:v>WMS52</c:v>
                </c:pt>
                <c:pt idx="5">
                  <c:v>WMS53</c:v>
                </c:pt>
                <c:pt idx="6">
                  <c:v>WMS54</c:v>
                </c:pt>
                <c:pt idx="7">
                  <c:v>WMS55</c:v>
                </c:pt>
                <c:pt idx="8">
                  <c:v>WMS56</c:v>
                </c:pt>
                <c:pt idx="9">
                  <c:v>WMS59</c:v>
                </c:pt>
                <c:pt idx="10">
                  <c:v>WMS60</c:v>
                </c:pt>
                <c:pt idx="11">
                  <c:v>WMS61</c:v>
                </c:pt>
                <c:pt idx="12">
                  <c:v>WMS62</c:v>
                </c:pt>
                <c:pt idx="13">
                  <c:v>WMS64</c:v>
                </c:pt>
                <c:pt idx="14">
                  <c:v>WMS65</c:v>
                </c:pt>
                <c:pt idx="15">
                  <c:v>WMS66</c:v>
                </c:pt>
                <c:pt idx="16">
                  <c:v>WMS67</c:v>
                </c:pt>
                <c:pt idx="17">
                  <c:v>WMS68</c:v>
                </c:pt>
                <c:pt idx="18">
                  <c:v>WMS69</c:v>
                </c:pt>
                <c:pt idx="19">
                  <c:v>WMS70</c:v>
                </c:pt>
                <c:pt idx="20">
                  <c:v>WMS71</c:v>
                </c:pt>
              </c:strCache>
            </c:strRef>
          </c:cat>
          <c:val>
            <c:numRef>
              <c:f>Sheet1!$D$31:$D$51</c:f>
              <c:numCache>
                <c:formatCode>General</c:formatCode>
                <c:ptCount val="21"/>
                <c:pt idx="0">
                  <c:v>5.0254443475322994E-3</c:v>
                </c:pt>
                <c:pt idx="1">
                  <c:v>4.8182278227681787E-3</c:v>
                </c:pt>
                <c:pt idx="2">
                  <c:v>3.6648158940241799E-3</c:v>
                </c:pt>
                <c:pt idx="3">
                  <c:v>3.6648158940241799E-3</c:v>
                </c:pt>
                <c:pt idx="4">
                  <c:v>7.0520373826288311E-3</c:v>
                </c:pt>
                <c:pt idx="5">
                  <c:v>6.5236408239104909E-3</c:v>
                </c:pt>
                <c:pt idx="6">
                  <c:v>5.3381376908201404E-3</c:v>
                </c:pt>
                <c:pt idx="7">
                  <c:v>5.2436964823839817E-3</c:v>
                </c:pt>
                <c:pt idx="8">
                  <c:v>5.0887393087517482E-3</c:v>
                </c:pt>
                <c:pt idx="9">
                  <c:v>5.2044235108298998E-3</c:v>
                </c:pt>
                <c:pt idx="10">
                  <c:v>6.43892368682883E-3</c:v>
                </c:pt>
                <c:pt idx="11">
                  <c:v>7.973517145938849E-3</c:v>
                </c:pt>
                <c:pt idx="12">
                  <c:v>6.6993867383540471E-3</c:v>
                </c:pt>
                <c:pt idx="13">
                  <c:v>1.2499892404650201E-2</c:v>
                </c:pt>
                <c:pt idx="14">
                  <c:v>9.0104206298999602E-3</c:v>
                </c:pt>
                <c:pt idx="15">
                  <c:v>9.7835070710010821E-3</c:v>
                </c:pt>
                <c:pt idx="16">
                  <c:v>7.3681067419064904E-3</c:v>
                </c:pt>
                <c:pt idx="17">
                  <c:v>8.8644458305106692E-3</c:v>
                </c:pt>
                <c:pt idx="18">
                  <c:v>1.3043823095319221E-2</c:v>
                </c:pt>
                <c:pt idx="19">
                  <c:v>1.3657960571486419E-2</c:v>
                </c:pt>
                <c:pt idx="20">
                  <c:v>1.25164849089475E-2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EFE-4FDD-AA13-7D33EA043A9E}"/>
            </c:ext>
          </c:extLst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Red 667</c:v>
                </c:pt>
              </c:strCache>
            </c:strRef>
          </c:tx>
          <c:marker>
            <c:symbol val="none"/>
          </c:marker>
          <c:cat>
            <c:strRef>
              <c:f>Sheet1!$A$31:$A$51</c:f>
              <c:strCache>
                <c:ptCount val="21"/>
                <c:pt idx="0">
                  <c:v>WMS47</c:v>
                </c:pt>
                <c:pt idx="1">
                  <c:v>WMS48</c:v>
                </c:pt>
                <c:pt idx="2">
                  <c:v>WMS49</c:v>
                </c:pt>
                <c:pt idx="3">
                  <c:v>WMS50</c:v>
                </c:pt>
                <c:pt idx="4">
                  <c:v>WMS52</c:v>
                </c:pt>
                <c:pt idx="5">
                  <c:v>WMS53</c:v>
                </c:pt>
                <c:pt idx="6">
                  <c:v>WMS54</c:v>
                </c:pt>
                <c:pt idx="7">
                  <c:v>WMS55</c:v>
                </c:pt>
                <c:pt idx="8">
                  <c:v>WMS56</c:v>
                </c:pt>
                <c:pt idx="9">
                  <c:v>WMS59</c:v>
                </c:pt>
                <c:pt idx="10">
                  <c:v>WMS60</c:v>
                </c:pt>
                <c:pt idx="11">
                  <c:v>WMS61</c:v>
                </c:pt>
                <c:pt idx="12">
                  <c:v>WMS62</c:v>
                </c:pt>
                <c:pt idx="13">
                  <c:v>WMS64</c:v>
                </c:pt>
                <c:pt idx="14">
                  <c:v>WMS65</c:v>
                </c:pt>
                <c:pt idx="15">
                  <c:v>WMS66</c:v>
                </c:pt>
                <c:pt idx="16">
                  <c:v>WMS67</c:v>
                </c:pt>
                <c:pt idx="17">
                  <c:v>WMS68</c:v>
                </c:pt>
                <c:pt idx="18">
                  <c:v>WMS69</c:v>
                </c:pt>
                <c:pt idx="19">
                  <c:v>WMS70</c:v>
                </c:pt>
                <c:pt idx="20">
                  <c:v>WMS71</c:v>
                </c:pt>
              </c:strCache>
            </c:strRef>
          </c:cat>
          <c:val>
            <c:numRef>
              <c:f>Sheet1!$E$31:$E$51</c:f>
              <c:numCache>
                <c:formatCode>General</c:formatCode>
                <c:ptCount val="21"/>
                <c:pt idx="0">
                  <c:v>3.089139594906776E-3</c:v>
                </c:pt>
                <c:pt idx="1">
                  <c:v>3.679938073247718E-3</c:v>
                </c:pt>
                <c:pt idx="2">
                  <c:v>3.08123313618635E-3</c:v>
                </c:pt>
                <c:pt idx="3">
                  <c:v>3.08123313618635E-3</c:v>
                </c:pt>
                <c:pt idx="4">
                  <c:v>3.9607429149117728E-3</c:v>
                </c:pt>
                <c:pt idx="5">
                  <c:v>4.0272285275524938E-3</c:v>
                </c:pt>
                <c:pt idx="6">
                  <c:v>4.0620579716581558E-3</c:v>
                </c:pt>
                <c:pt idx="7">
                  <c:v>3.8958741848213211E-3</c:v>
                </c:pt>
                <c:pt idx="8">
                  <c:v>3.9873353526212272E-3</c:v>
                </c:pt>
                <c:pt idx="9">
                  <c:v>3.74845167471374E-3</c:v>
                </c:pt>
                <c:pt idx="10">
                  <c:v>4.5156065091741743E-3</c:v>
                </c:pt>
                <c:pt idx="11">
                  <c:v>5.5236019168040636E-3</c:v>
                </c:pt>
                <c:pt idx="12">
                  <c:v>4.5757067720218298E-3</c:v>
                </c:pt>
                <c:pt idx="13">
                  <c:v>9.5653990299993056E-3</c:v>
                </c:pt>
                <c:pt idx="14">
                  <c:v>6.4464353672441096E-3</c:v>
                </c:pt>
                <c:pt idx="15">
                  <c:v>7.2544849422202058E-3</c:v>
                </c:pt>
                <c:pt idx="16">
                  <c:v>5.0667818429726659E-3</c:v>
                </c:pt>
                <c:pt idx="17">
                  <c:v>6.3296126194208524E-3</c:v>
                </c:pt>
                <c:pt idx="18">
                  <c:v>1.0443958120880189E-2</c:v>
                </c:pt>
                <c:pt idx="19">
                  <c:v>1.153984567075121E-2</c:v>
                </c:pt>
                <c:pt idx="20">
                  <c:v>9.516180289188849E-3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EFE-4FDD-AA13-7D33EA043A9E}"/>
            </c:ext>
          </c:extLst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RedEdge 717</c:v>
                </c:pt>
              </c:strCache>
            </c:strRef>
          </c:tx>
          <c:marker>
            <c:symbol val="none"/>
          </c:marker>
          <c:cat>
            <c:strRef>
              <c:f>Sheet1!$A$31:$A$51</c:f>
              <c:strCache>
                <c:ptCount val="21"/>
                <c:pt idx="0">
                  <c:v>WMS47</c:v>
                </c:pt>
                <c:pt idx="1">
                  <c:v>WMS48</c:v>
                </c:pt>
                <c:pt idx="2">
                  <c:v>WMS49</c:v>
                </c:pt>
                <c:pt idx="3">
                  <c:v>WMS50</c:v>
                </c:pt>
                <c:pt idx="4">
                  <c:v>WMS52</c:v>
                </c:pt>
                <c:pt idx="5">
                  <c:v>WMS53</c:v>
                </c:pt>
                <c:pt idx="6">
                  <c:v>WMS54</c:v>
                </c:pt>
                <c:pt idx="7">
                  <c:v>WMS55</c:v>
                </c:pt>
                <c:pt idx="8">
                  <c:v>WMS56</c:v>
                </c:pt>
                <c:pt idx="9">
                  <c:v>WMS59</c:v>
                </c:pt>
                <c:pt idx="10">
                  <c:v>WMS60</c:v>
                </c:pt>
                <c:pt idx="11">
                  <c:v>WMS61</c:v>
                </c:pt>
                <c:pt idx="12">
                  <c:v>WMS62</c:v>
                </c:pt>
                <c:pt idx="13">
                  <c:v>WMS64</c:v>
                </c:pt>
                <c:pt idx="14">
                  <c:v>WMS65</c:v>
                </c:pt>
                <c:pt idx="15">
                  <c:v>WMS66</c:v>
                </c:pt>
                <c:pt idx="16">
                  <c:v>WMS67</c:v>
                </c:pt>
                <c:pt idx="17">
                  <c:v>WMS68</c:v>
                </c:pt>
                <c:pt idx="18">
                  <c:v>WMS69</c:v>
                </c:pt>
                <c:pt idx="19">
                  <c:v>WMS70</c:v>
                </c:pt>
                <c:pt idx="20">
                  <c:v>WMS71</c:v>
                </c:pt>
              </c:strCache>
            </c:strRef>
          </c:cat>
          <c:val>
            <c:numRef>
              <c:f>Sheet1!$F$31:$F$51</c:f>
              <c:numCache>
                <c:formatCode>General</c:formatCode>
                <c:ptCount val="21"/>
                <c:pt idx="0">
                  <c:v>2.0137570453197359E-3</c:v>
                </c:pt>
                <c:pt idx="1">
                  <c:v>2.6821434823455599E-3</c:v>
                </c:pt>
                <c:pt idx="2">
                  <c:v>2.484358193358769E-3</c:v>
                </c:pt>
                <c:pt idx="3">
                  <c:v>2.484358193358769E-3</c:v>
                </c:pt>
                <c:pt idx="4">
                  <c:v>2.6963119188730279E-3</c:v>
                </c:pt>
                <c:pt idx="5">
                  <c:v>3.0621200789284399E-3</c:v>
                </c:pt>
                <c:pt idx="6">
                  <c:v>3.570825684235078E-3</c:v>
                </c:pt>
                <c:pt idx="7">
                  <c:v>3.546588835259917E-3</c:v>
                </c:pt>
                <c:pt idx="8">
                  <c:v>3.5480728562338028E-3</c:v>
                </c:pt>
                <c:pt idx="9">
                  <c:v>3.8524490917186431E-3</c:v>
                </c:pt>
                <c:pt idx="10">
                  <c:v>3.9573590198643347E-3</c:v>
                </c:pt>
                <c:pt idx="11">
                  <c:v>4.7322042916654204E-3</c:v>
                </c:pt>
                <c:pt idx="12">
                  <c:v>4.0365204092467884E-3</c:v>
                </c:pt>
                <c:pt idx="13">
                  <c:v>8.5878905782149802E-3</c:v>
                </c:pt>
                <c:pt idx="14">
                  <c:v>6.9223052286405346E-3</c:v>
                </c:pt>
                <c:pt idx="15">
                  <c:v>7.0934380982581122E-3</c:v>
                </c:pt>
                <c:pt idx="16">
                  <c:v>4.6336209058095486E-3</c:v>
                </c:pt>
                <c:pt idx="17">
                  <c:v>6.1707450564041037E-3</c:v>
                </c:pt>
                <c:pt idx="18">
                  <c:v>9.3292746800503513E-3</c:v>
                </c:pt>
                <c:pt idx="19">
                  <c:v>1.056241396581825E-2</c:v>
                </c:pt>
                <c:pt idx="20">
                  <c:v>8.5104241678821222E-3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EFE-4FDD-AA13-7D33EA043A9E}"/>
            </c:ext>
          </c:extLst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NIR 831</c:v>
                </c:pt>
              </c:strCache>
            </c:strRef>
          </c:tx>
          <c:marker>
            <c:symbol val="none"/>
          </c:marker>
          <c:cat>
            <c:strRef>
              <c:f>Sheet1!$A$31:$A$51</c:f>
              <c:strCache>
                <c:ptCount val="21"/>
                <c:pt idx="0">
                  <c:v>WMS47</c:v>
                </c:pt>
                <c:pt idx="1">
                  <c:v>WMS48</c:v>
                </c:pt>
                <c:pt idx="2">
                  <c:v>WMS49</c:v>
                </c:pt>
                <c:pt idx="3">
                  <c:v>WMS50</c:v>
                </c:pt>
                <c:pt idx="4">
                  <c:v>WMS52</c:v>
                </c:pt>
                <c:pt idx="5">
                  <c:v>WMS53</c:v>
                </c:pt>
                <c:pt idx="6">
                  <c:v>WMS54</c:v>
                </c:pt>
                <c:pt idx="7">
                  <c:v>WMS55</c:v>
                </c:pt>
                <c:pt idx="8">
                  <c:v>WMS56</c:v>
                </c:pt>
                <c:pt idx="9">
                  <c:v>WMS59</c:v>
                </c:pt>
                <c:pt idx="10">
                  <c:v>WMS60</c:v>
                </c:pt>
                <c:pt idx="11">
                  <c:v>WMS61</c:v>
                </c:pt>
                <c:pt idx="12">
                  <c:v>WMS62</c:v>
                </c:pt>
                <c:pt idx="13">
                  <c:v>WMS64</c:v>
                </c:pt>
                <c:pt idx="14">
                  <c:v>WMS65</c:v>
                </c:pt>
                <c:pt idx="15">
                  <c:v>WMS66</c:v>
                </c:pt>
                <c:pt idx="16">
                  <c:v>WMS67</c:v>
                </c:pt>
                <c:pt idx="17">
                  <c:v>WMS68</c:v>
                </c:pt>
                <c:pt idx="18">
                  <c:v>WMS69</c:v>
                </c:pt>
                <c:pt idx="19">
                  <c:v>WMS70</c:v>
                </c:pt>
                <c:pt idx="20">
                  <c:v>WMS71</c:v>
                </c:pt>
              </c:strCache>
            </c:strRef>
          </c:cat>
          <c:val>
            <c:numRef>
              <c:f>Sheet1!$G$31:$G$51</c:f>
              <c:numCache>
                <c:formatCode>General</c:formatCode>
                <c:ptCount val="21"/>
                <c:pt idx="0">
                  <c:v>7.0348602593529679E-4</c:v>
                </c:pt>
                <c:pt idx="1">
                  <c:v>1.5081095591292419E-3</c:v>
                </c:pt>
                <c:pt idx="2">
                  <c:v>1.7462677359110579E-3</c:v>
                </c:pt>
                <c:pt idx="3">
                  <c:v>1.7462677359110579E-3</c:v>
                </c:pt>
                <c:pt idx="4">
                  <c:v>1.140815417498031E-3</c:v>
                </c:pt>
                <c:pt idx="5">
                  <c:v>1.997642248440954E-3</c:v>
                </c:pt>
                <c:pt idx="6">
                  <c:v>1.7381865840672701E-3</c:v>
                </c:pt>
                <c:pt idx="7">
                  <c:v>1.6126506867082291E-3</c:v>
                </c:pt>
                <c:pt idx="8">
                  <c:v>1.921995105755392E-3</c:v>
                </c:pt>
                <c:pt idx="9">
                  <c:v>1.6093442504631281E-3</c:v>
                </c:pt>
                <c:pt idx="10">
                  <c:v>1.634828256342412E-3</c:v>
                </c:pt>
                <c:pt idx="11">
                  <c:v>2.5147003980729768E-3</c:v>
                </c:pt>
                <c:pt idx="12">
                  <c:v>1.768438653033949E-3</c:v>
                </c:pt>
                <c:pt idx="13">
                  <c:v>4.4096470243824466E-3</c:v>
                </c:pt>
                <c:pt idx="14">
                  <c:v>3.0394087302516382E-3</c:v>
                </c:pt>
                <c:pt idx="15">
                  <c:v>3.0645680360378829E-3</c:v>
                </c:pt>
                <c:pt idx="16">
                  <c:v>1.9860678493141279E-3</c:v>
                </c:pt>
                <c:pt idx="17">
                  <c:v>2.685837872554732E-3</c:v>
                </c:pt>
                <c:pt idx="18">
                  <c:v>4.5691241811019684E-3</c:v>
                </c:pt>
                <c:pt idx="19">
                  <c:v>5.168238032111255E-3</c:v>
                </c:pt>
                <c:pt idx="20">
                  <c:v>4.1815766050886521E-3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EFE-4FDD-AA13-7D33EA043A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010001"/>
        <c:axId val="50010002"/>
      </c:lineChart>
      <c:catAx>
        <c:axId val="5001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Wavelength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100-000000000000}">
  <sheetPr/>
  <sheetViews>
    <sheetView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487680</xdr:colOff>
      <xdr:row>16</xdr:row>
      <xdr:rowOff>114300</xdr:rowOff>
    </xdr:from>
    <xdr:to>
      <xdr:col>18</xdr:col>
      <xdr:colOff>182880</xdr:colOff>
      <xdr:row>30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1A05FA4-FA52-45F3-AE6D-4AD8C172EC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468630</xdr:colOff>
      <xdr:row>0</xdr:row>
      <xdr:rowOff>167640</xdr:rowOff>
    </xdr:from>
    <xdr:to>
      <xdr:col>18</xdr:col>
      <xdr:colOff>163830</xdr:colOff>
      <xdr:row>15</xdr:row>
      <xdr:rowOff>167640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8F2190F-7106-4B81-A738-AA57B2B6AA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220980</xdr:colOff>
      <xdr:row>1</xdr:row>
      <xdr:rowOff>0</xdr:rowOff>
    </xdr:from>
    <xdr:to>
      <xdr:col>24</xdr:col>
      <xdr:colOff>525780</xdr:colOff>
      <xdr:row>16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06CABD2-410A-46F0-8DDE-E69CD1A116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56320" cy="627888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51"/>
  <sheetViews>
    <sheetView tabSelected="1" workbookViewId="0">
      <pane xSplit="8" ySplit="1" topLeftCell="Z2" activePane="bottomRight" state="frozen"/>
      <selection pane="topRight" activeCell="I1" sqref="I1"/>
      <selection pane="bottomLeft" activeCell="A2" sqref="A2"/>
      <selection pane="bottomRight" activeCell="AE14" sqref="AE14"/>
    </sheetView>
  </sheetViews>
  <sheetFormatPr defaultRowHeight="14.4" x14ac:dyDescent="0.3"/>
  <cols>
    <col min="1" max="1" width="7.33203125" bestFit="1" customWidth="1"/>
    <col min="2" max="2" width="6" bestFit="1" customWidth="1"/>
    <col min="3" max="8" width="12" bestFit="1" customWidth="1"/>
  </cols>
  <sheetData>
    <row r="1" spans="1:51" x14ac:dyDescent="0.3">
      <c r="A1" s="1" t="s">
        <v>0</v>
      </c>
      <c r="B1" s="1" t="s">
        <v>1</v>
      </c>
      <c r="C1" t="s">
        <v>42</v>
      </c>
      <c r="D1" t="s">
        <v>43</v>
      </c>
      <c r="E1" t="s">
        <v>44</v>
      </c>
      <c r="F1" t="s">
        <v>45</v>
      </c>
      <c r="G1" t="s">
        <v>46</v>
      </c>
      <c r="H1" t="s">
        <v>47</v>
      </c>
      <c r="I1" t="s">
        <v>67</v>
      </c>
      <c r="J1" t="s">
        <v>68</v>
      </c>
    </row>
    <row r="2" spans="1:51" x14ac:dyDescent="0.3">
      <c r="A2" t="s">
        <v>2</v>
      </c>
      <c r="B2">
        <v>36.000000000000036</v>
      </c>
      <c r="C2">
        <v>1.0417017049888868E-2</v>
      </c>
      <c r="D2">
        <v>1.4881649594409348E-2</v>
      </c>
      <c r="E2">
        <v>1.4811581035903833E-2</v>
      </c>
      <c r="F2">
        <v>1.2048873613380501E-2</v>
      </c>
      <c r="G2">
        <v>5.5344983595535645E-3</v>
      </c>
      <c r="H2">
        <f>((G2*E2^$Z$2)/(F2^$Z$3))+(F2/E2)^$Z$4</f>
        <v>1.4280963392209485</v>
      </c>
      <c r="I2">
        <f>((G2*E2^$AA$2)/(F2^$AA$3))+(F2/E2)^$AA$4</f>
        <v>1.4285490652540147</v>
      </c>
      <c r="J2">
        <f>(G2^$AB$2+E2^$AB$2)/(2*F2^$AB$2)</f>
        <v>0.83583486189263145</v>
      </c>
      <c r="Z2">
        <v>4.3141192475585601</v>
      </c>
      <c r="AA2">
        <v>4.2619561770369883</v>
      </c>
      <c r="AB2">
        <v>1.4042017166832852</v>
      </c>
      <c r="AU2">
        <v>4.2288242357147272</v>
      </c>
      <c r="AV2">
        <v>3.9748024282191001</v>
      </c>
      <c r="AW2">
        <v>4.3141192475585566</v>
      </c>
    </row>
    <row r="3" spans="1:51" x14ac:dyDescent="0.3">
      <c r="A3" t="s">
        <v>48</v>
      </c>
      <c r="B3">
        <v>36</v>
      </c>
      <c r="C3">
        <v>9.935392013978939E-3</v>
      </c>
      <c r="D3">
        <v>1.4388976173750363E-2</v>
      </c>
      <c r="E3">
        <v>1.4254431781471106E-2</v>
      </c>
      <c r="F3">
        <v>1.1446001665448909E-2</v>
      </c>
      <c r="G3">
        <v>5.3257457454138233E-3</v>
      </c>
      <c r="H3">
        <f t="shared" ref="H3:H51" si="0">((G3*E3^$Z$2)/(F3^$Z$3))+(F3/E3)^$Z$4</f>
        <v>1.4683911786443546</v>
      </c>
      <c r="I3">
        <f>((G3*E3^$AA$2)/(F3^$AA$3))+(F3/E3)^$AA$4</f>
        <v>1.4699858951459321</v>
      </c>
      <c r="J3">
        <f t="shared" ref="J3:J51" si="1">(G3^$AB$2+E3^$AB$2)/(2*F3^$AB$2)</f>
        <v>0.85119432998715416</v>
      </c>
      <c r="Z3">
        <v>5.2618515904457146</v>
      </c>
      <c r="AA3">
        <v>5.2190892157210111</v>
      </c>
      <c r="AB3">
        <v>3.1</v>
      </c>
      <c r="AU3">
        <v>4.4721752794433698</v>
      </c>
      <c r="AV3">
        <v>4.2037378140490649</v>
      </c>
      <c r="AW3">
        <v>5.2618515904457146</v>
      </c>
    </row>
    <row r="4" spans="1:51" x14ac:dyDescent="0.3">
      <c r="A4" t="s">
        <v>3</v>
      </c>
      <c r="B4">
        <v>35.000000000000043</v>
      </c>
      <c r="C4" s="2">
        <v>8.4351972613835469E-3</v>
      </c>
      <c r="D4" s="2">
        <v>1.2475606905806656E-2</v>
      </c>
      <c r="E4" s="2">
        <v>1.2200427640451308E-2</v>
      </c>
      <c r="F4" s="2">
        <v>9.6705757563013191E-3</v>
      </c>
      <c r="G4">
        <v>4.4373477606748195E-3</v>
      </c>
      <c r="H4">
        <f>((G4*E4^$Z$2)/(F4^$Z$3))+(F4/E4)^$Z$4</f>
        <v>1.4806649980493995</v>
      </c>
      <c r="I4">
        <f t="shared" ref="I3:I51" si="2">((G4*E4^$AA$2)/(F4^$AA$3))+(F4/E4)^$AA$4</f>
        <v>1.483693254615762</v>
      </c>
      <c r="J4">
        <f t="shared" si="1"/>
        <v>0.86037552533135753</v>
      </c>
      <c r="Z4">
        <v>2.9875898470305482</v>
      </c>
      <c r="AA4">
        <v>3.2391266991226493</v>
      </c>
      <c r="AB4">
        <v>3.2</v>
      </c>
      <c r="AW4">
        <v>2.9875898470305482</v>
      </c>
    </row>
    <row r="5" spans="1:51" x14ac:dyDescent="0.3">
      <c r="A5" t="s">
        <v>4</v>
      </c>
      <c r="B5">
        <v>29.999999999999972</v>
      </c>
      <c r="C5" s="2">
        <v>8.7442720615152451E-3</v>
      </c>
      <c r="D5" s="2">
        <v>1.2758082191670194E-2</v>
      </c>
      <c r="E5" s="2">
        <v>1.1951740779427211E-2</v>
      </c>
      <c r="F5" s="2">
        <v>9.2450658494283265E-3</v>
      </c>
      <c r="G5">
        <v>4.2855484994228626E-3</v>
      </c>
      <c r="H5">
        <f t="shared" si="0"/>
        <v>1.5630631466495966</v>
      </c>
      <c r="I5">
        <f t="shared" si="2"/>
        <v>1.5682006177155683</v>
      </c>
      <c r="J5">
        <f t="shared" si="1"/>
        <v>0.88694523729324803</v>
      </c>
      <c r="Z5">
        <v>0.11188528198901823</v>
      </c>
      <c r="AW5">
        <v>0.11188528198901823</v>
      </c>
    </row>
    <row r="6" spans="1:51" x14ac:dyDescent="0.3">
      <c r="A6" t="s">
        <v>49</v>
      </c>
      <c r="B6">
        <v>28.249999999999954</v>
      </c>
      <c r="C6" s="2">
        <v>7.9158729854167248E-3</v>
      </c>
      <c r="D6" s="2">
        <v>1.1556179113000952E-2</v>
      </c>
      <c r="E6" s="2">
        <v>1.0752583668866892E-2</v>
      </c>
      <c r="F6" s="2">
        <v>8.2881675469868507E-3</v>
      </c>
      <c r="G6">
        <v>3.8643152706749938E-3</v>
      </c>
      <c r="H6">
        <f t="shared" si="0"/>
        <v>1.575149555088895</v>
      </c>
      <c r="I6">
        <f t="shared" si="2"/>
        <v>1.5817071582472308</v>
      </c>
      <c r="J6">
        <f t="shared" si="1"/>
        <v>0.89189710292609914</v>
      </c>
      <c r="Z6">
        <v>6.56816287540736</v>
      </c>
      <c r="AW6">
        <v>6.56816287540736</v>
      </c>
    </row>
    <row r="7" spans="1:51" x14ac:dyDescent="0.3">
      <c r="A7" t="s">
        <v>5</v>
      </c>
      <c r="B7">
        <v>49.5</v>
      </c>
      <c r="C7" s="2">
        <v>5.3483326267601567E-3</v>
      </c>
      <c r="D7" s="2">
        <v>7.5550049968457784E-3</v>
      </c>
      <c r="E7" s="2">
        <v>6.7352460829712257E-3</v>
      </c>
      <c r="F7" s="2">
        <v>5.7574639288478172E-3</v>
      </c>
      <c r="G7">
        <v>3.4567660592154065E-3</v>
      </c>
      <c r="H7">
        <f t="shared" si="0"/>
        <v>1.5279706370880357</v>
      </c>
      <c r="I7">
        <f t="shared" si="2"/>
        <v>1.5408549573770496</v>
      </c>
      <c r="J7">
        <f t="shared" si="1"/>
        <v>0.86746045112640369</v>
      </c>
      <c r="Z7">
        <v>-0.45716144465564174</v>
      </c>
      <c r="AW7">
        <v>-0.45716144465564174</v>
      </c>
    </row>
    <row r="8" spans="1:51" x14ac:dyDescent="0.3">
      <c r="A8" t="s">
        <v>6</v>
      </c>
      <c r="B8">
        <v>46.750000000000028</v>
      </c>
      <c r="C8" s="2">
        <v>4.4972358649532276E-3</v>
      </c>
      <c r="D8" s="2">
        <v>6.6781764623962065E-3</v>
      </c>
      <c r="E8" s="2">
        <v>5.7334485337865778E-3</v>
      </c>
      <c r="F8" s="2">
        <v>4.3078976694097392E-3</v>
      </c>
      <c r="G8">
        <v>2.1213781497103554E-3</v>
      </c>
      <c r="H8">
        <f t="shared" si="0"/>
        <v>1.6971423464228741</v>
      </c>
      <c r="I8">
        <f t="shared" si="2"/>
        <v>1.7146050344158432</v>
      </c>
      <c r="J8">
        <f t="shared" si="1"/>
        <v>0.93188328286135291</v>
      </c>
    </row>
    <row r="9" spans="1:51" x14ac:dyDescent="0.3">
      <c r="A9" t="s">
        <v>50</v>
      </c>
      <c r="B9">
        <v>44.5</v>
      </c>
      <c r="C9" s="2">
        <v>4.2022660516422934E-3</v>
      </c>
      <c r="D9" s="2">
        <v>6.1474337384264137E-3</v>
      </c>
      <c r="E9" s="2">
        <v>5.3552707266567292E-3</v>
      </c>
      <c r="F9" s="2">
        <v>4.0924481414364505E-3</v>
      </c>
      <c r="G9">
        <v>2.1437920255000208E-3</v>
      </c>
      <c r="H9">
        <f t="shared" si="0"/>
        <v>1.7016757526706685</v>
      </c>
      <c r="I9">
        <f t="shared" si="2"/>
        <v>1.7205123093934587</v>
      </c>
      <c r="J9">
        <f t="shared" si="1"/>
        <v>0.93110412169473589</v>
      </c>
    </row>
    <row r="10" spans="1:51" x14ac:dyDescent="0.3">
      <c r="A10" t="s">
        <v>7</v>
      </c>
      <c r="B10">
        <v>41.749999999999957</v>
      </c>
      <c r="C10" s="2">
        <v>5.211390676634297E-3</v>
      </c>
      <c r="D10" s="2">
        <v>6.9103725397815733E-3</v>
      </c>
      <c r="E10" s="2">
        <v>5.9430591114124562E-3</v>
      </c>
      <c r="F10" s="2">
        <v>4.9133034961699089E-3</v>
      </c>
      <c r="G10">
        <v>3.0858493600724704E-3</v>
      </c>
      <c r="H10">
        <f t="shared" si="0"/>
        <v>1.6474218155541922</v>
      </c>
      <c r="I10">
        <f t="shared" si="2"/>
        <v>1.6651222606897327</v>
      </c>
      <c r="J10">
        <f t="shared" si="1"/>
        <v>0.9133522946256134</v>
      </c>
    </row>
    <row r="11" spans="1:51" x14ac:dyDescent="0.3">
      <c r="A11" t="s">
        <v>8</v>
      </c>
      <c r="B11">
        <v>46.499999999999986</v>
      </c>
      <c r="C11" s="2">
        <v>1.7623641815080127E-2</v>
      </c>
      <c r="D11" s="2">
        <v>1.8209696527929961E-2</v>
      </c>
      <c r="E11" s="2">
        <v>1.7671195709544996E-2</v>
      </c>
      <c r="F11" s="2">
        <v>1.7562204742319086E-2</v>
      </c>
      <c r="G11">
        <v>1.590303201639939E-2</v>
      </c>
      <c r="H11">
        <f t="shared" si="0"/>
        <v>1.7345921167322693</v>
      </c>
      <c r="I11">
        <f t="shared" si="2"/>
        <v>1.7619723985942661</v>
      </c>
      <c r="J11">
        <f t="shared" si="1"/>
        <v>0.9393235449518692</v>
      </c>
    </row>
    <row r="12" spans="1:51" x14ac:dyDescent="0.3">
      <c r="A12" t="s">
        <v>51</v>
      </c>
      <c r="B12">
        <v>43.49999999999995</v>
      </c>
      <c r="C12" s="2">
        <v>5.1288302581358313E-3</v>
      </c>
      <c r="D12" s="2">
        <v>8.0881613441818965E-3</v>
      </c>
      <c r="E12" s="2">
        <v>6.885592681464622E-3</v>
      </c>
      <c r="F12" s="2">
        <v>5.2921877605242957E-3</v>
      </c>
      <c r="G12">
        <v>2.6905196501004285E-3</v>
      </c>
      <c r="H12">
        <f t="shared" si="0"/>
        <v>1.6587483181174445</v>
      </c>
      <c r="I12">
        <f t="shared" si="2"/>
        <v>1.6731058006723278</v>
      </c>
      <c r="J12">
        <f t="shared" si="1"/>
        <v>0.91694943944830942</v>
      </c>
      <c r="AA12" t="s">
        <v>62</v>
      </c>
      <c r="AC12" t="s">
        <v>62</v>
      </c>
      <c r="AE12" t="s">
        <v>62</v>
      </c>
      <c r="AX12" t="s">
        <v>62</v>
      </c>
    </row>
    <row r="13" spans="1:51" x14ac:dyDescent="0.3">
      <c r="A13" t="s">
        <v>9</v>
      </c>
      <c r="B13">
        <v>43.999999999999964</v>
      </c>
      <c r="C13" s="2">
        <v>5.1634055525783748E-3</v>
      </c>
      <c r="D13" s="2">
        <v>7.6210046962994328E-3</v>
      </c>
      <c r="E13" s="2">
        <v>6.5154006633880981E-3</v>
      </c>
      <c r="F13" s="2">
        <v>5.1375431804476642E-3</v>
      </c>
      <c r="G13">
        <v>2.6143130239149105E-3</v>
      </c>
      <c r="H13">
        <f t="shared" si="0"/>
        <v>1.5684490895098726</v>
      </c>
      <c r="I13">
        <f t="shared" si="2"/>
        <v>1.5806854190740041</v>
      </c>
      <c r="J13">
        <f t="shared" si="1"/>
        <v>0.89164627468769619</v>
      </c>
      <c r="AA13" t="s">
        <v>60</v>
      </c>
      <c r="AB13" t="s">
        <v>61</v>
      </c>
      <c r="AC13" t="s">
        <v>60</v>
      </c>
      <c r="AD13" t="s">
        <v>61</v>
      </c>
      <c r="AE13" t="s">
        <v>60</v>
      </c>
      <c r="AF13" t="s">
        <v>61</v>
      </c>
      <c r="AX13" t="s">
        <v>60</v>
      </c>
      <c r="AY13" t="s">
        <v>61</v>
      </c>
    </row>
    <row r="14" spans="1:51" x14ac:dyDescent="0.3">
      <c r="A14" t="s">
        <v>10</v>
      </c>
      <c r="B14">
        <v>46.250000000000064</v>
      </c>
      <c r="C14" s="2">
        <v>4.7957418492512302E-3</v>
      </c>
      <c r="D14" s="2">
        <v>7.0262070371567955E-3</v>
      </c>
      <c r="E14" s="2">
        <v>6.1786041679127504E-3</v>
      </c>
      <c r="F14" s="2">
        <v>5.1650235865973292E-3</v>
      </c>
      <c r="G14">
        <v>2.9440553268687566E-3</v>
      </c>
      <c r="H14">
        <f t="shared" si="0"/>
        <v>1.5231659039517402</v>
      </c>
      <c r="I14">
        <f t="shared" si="2"/>
        <v>1.5357834427286812</v>
      </c>
      <c r="J14">
        <f t="shared" si="1"/>
        <v>0.87012031114634969</v>
      </c>
      <c r="AA14">
        <f>CORREL(B2:B51, H2:H51)</f>
        <v>0.87633115582491317</v>
      </c>
      <c r="AB14">
        <f>AA14^2</f>
        <v>0.76795629466942827</v>
      </c>
      <c r="AC14">
        <f>CORREL(B2:B51, I2:I51)</f>
        <v>0.8767338555846601</v>
      </c>
      <c r="AD14">
        <f>AC14^2</f>
        <v>0.76866225352834361</v>
      </c>
      <c r="AE14">
        <f>CORREL(B2:B51, J2:J51)</f>
        <v>0.79284530837098</v>
      </c>
      <c r="AF14">
        <f>AE14^2</f>
        <v>0.62860368300587433</v>
      </c>
      <c r="AX14">
        <f>CORREL(B2:B51, H2:H51)</f>
        <v>0.87633115582491317</v>
      </c>
      <c r="AY14">
        <f>AX14^2</f>
        <v>0.76795629466942827</v>
      </c>
    </row>
    <row r="15" spans="1:51" x14ac:dyDescent="0.3">
      <c r="A15" t="s">
        <v>52</v>
      </c>
      <c r="B15">
        <v>46.500000000000036</v>
      </c>
      <c r="C15" s="2">
        <v>4.5678431395782563E-3</v>
      </c>
      <c r="D15" s="2">
        <v>5.9302835470394794E-3</v>
      </c>
      <c r="E15" s="2">
        <v>5.1481603750112119E-3</v>
      </c>
      <c r="F15" s="2">
        <v>4.4877615446281983E-3</v>
      </c>
      <c r="G15">
        <v>3.5026537416570137E-3</v>
      </c>
      <c r="H15">
        <f t="shared" si="0"/>
        <v>1.7273545326217228</v>
      </c>
      <c r="I15">
        <f t="shared" si="2"/>
        <v>1.752309333761338</v>
      </c>
      <c r="J15">
        <f t="shared" si="1"/>
        <v>0.9593525256191987</v>
      </c>
    </row>
    <row r="16" spans="1:51" x14ac:dyDescent="0.3">
      <c r="A16" t="s">
        <v>11</v>
      </c>
      <c r="B16">
        <v>45.749999999999957</v>
      </c>
      <c r="C16" s="2">
        <v>3.7265627767891578E-3</v>
      </c>
      <c r="D16" s="2">
        <v>6.0713586552081367E-3</v>
      </c>
      <c r="E16" s="2">
        <v>4.9852174679006957E-3</v>
      </c>
      <c r="F16" s="2">
        <v>3.7760353831543282E-3</v>
      </c>
      <c r="G16">
        <v>1.7487465540475598E-3</v>
      </c>
      <c r="H16">
        <f t="shared" si="0"/>
        <v>1.5830004248936034</v>
      </c>
      <c r="I16">
        <f t="shared" si="2"/>
        <v>1.597939387258196</v>
      </c>
      <c r="J16">
        <f t="shared" si="1"/>
        <v>0.90819896575033743</v>
      </c>
    </row>
    <row r="17" spans="1:10" x14ac:dyDescent="0.3">
      <c r="A17" t="s">
        <v>12</v>
      </c>
      <c r="B17">
        <v>43.499999999999993</v>
      </c>
      <c r="C17" s="2">
        <v>3.724698057460668E-3</v>
      </c>
      <c r="D17" s="2">
        <v>5.7940897929609787E-3</v>
      </c>
      <c r="E17" s="2">
        <v>4.7417858484200617E-3</v>
      </c>
      <c r="F17" s="2">
        <v>3.5668085606207871E-3</v>
      </c>
      <c r="G17">
        <v>1.755478153581591E-3</v>
      </c>
      <c r="H17">
        <f t="shared" si="0"/>
        <v>1.6793141391003785</v>
      </c>
      <c r="I17">
        <f t="shared" si="2"/>
        <v>1.698460642255275</v>
      </c>
      <c r="J17">
        <f t="shared" si="1"/>
        <v>0.93056294089398717</v>
      </c>
    </row>
    <row r="18" spans="1:10" x14ac:dyDescent="0.3">
      <c r="A18" t="s">
        <v>53</v>
      </c>
      <c r="B18">
        <v>40.50000000000005</v>
      </c>
      <c r="C18" s="2">
        <v>3.7265627767891578E-3</v>
      </c>
      <c r="D18" s="2">
        <v>6.0713586552081367E-3</v>
      </c>
      <c r="E18" s="2">
        <v>4.9852174679006957E-3</v>
      </c>
      <c r="F18" s="2">
        <v>3.7760353831543282E-3</v>
      </c>
      <c r="G18">
        <v>1.7487465540475598E-3</v>
      </c>
      <c r="H18">
        <f t="shared" si="0"/>
        <v>1.5830004248936034</v>
      </c>
      <c r="I18">
        <f t="shared" si="2"/>
        <v>1.597939387258196</v>
      </c>
      <c r="J18">
        <f t="shared" si="1"/>
        <v>0.90819896575033743</v>
      </c>
    </row>
    <row r="19" spans="1:10" x14ac:dyDescent="0.3">
      <c r="A19" t="s">
        <v>54</v>
      </c>
      <c r="B19">
        <v>45.999999999999929</v>
      </c>
      <c r="C19" s="2">
        <v>5.7853204371646049E-3</v>
      </c>
      <c r="D19" s="2">
        <v>8.2138060340576878E-3</v>
      </c>
      <c r="E19" s="2">
        <v>6.9246272046820335E-3</v>
      </c>
      <c r="F19" s="2">
        <v>5.6095188235010278E-3</v>
      </c>
      <c r="G19">
        <v>3.5251730641010014E-3</v>
      </c>
      <c r="H19">
        <f t="shared" si="0"/>
        <v>1.7220780455402211</v>
      </c>
      <c r="I19">
        <f t="shared" si="2"/>
        <v>1.7403092936019151</v>
      </c>
      <c r="J19">
        <f t="shared" si="1"/>
        <v>0.93249120189525336</v>
      </c>
    </row>
    <row r="20" spans="1:10" x14ac:dyDescent="0.3">
      <c r="A20" t="s">
        <v>13</v>
      </c>
      <c r="B20">
        <v>28.499999999999986</v>
      </c>
      <c r="C20" s="2">
        <v>3.0084625235070783E-3</v>
      </c>
      <c r="D20" s="2">
        <v>4.1001421904783243E-3</v>
      </c>
      <c r="E20" s="2">
        <v>3.8804960407999804E-3</v>
      </c>
      <c r="F20" s="2">
        <v>3.4567846272045284E-3</v>
      </c>
      <c r="G20">
        <v>1.8299928047474376E-3</v>
      </c>
      <c r="H20">
        <f t="shared" si="0"/>
        <v>1.3561902430122785</v>
      </c>
      <c r="I20">
        <f t="shared" si="2"/>
        <v>1.3672620064305954</v>
      </c>
      <c r="J20">
        <f t="shared" si="1"/>
        <v>0.79283188885880551</v>
      </c>
    </row>
    <row r="21" spans="1:10" x14ac:dyDescent="0.3">
      <c r="A21" t="s">
        <v>55</v>
      </c>
      <c r="B21">
        <v>44.250000000000021</v>
      </c>
      <c r="C21" s="2">
        <v>1.1932925625047094E-2</v>
      </c>
      <c r="D21" s="2">
        <v>1.5371643155290469E-2</v>
      </c>
      <c r="E21" s="2">
        <v>1.4236293012086447E-2</v>
      </c>
      <c r="F21" s="2">
        <v>1.2750919118583537E-2</v>
      </c>
      <c r="G21">
        <v>9.351347016455196E-3</v>
      </c>
      <c r="H21">
        <f t="shared" si="0"/>
        <v>1.6587157201259763</v>
      </c>
      <c r="I21">
        <f t="shared" si="2"/>
        <v>1.6727542934276318</v>
      </c>
      <c r="J21">
        <f t="shared" si="1"/>
        <v>0.90716850770756119</v>
      </c>
    </row>
    <row r="22" spans="1:10" x14ac:dyDescent="0.3">
      <c r="A22" t="s">
        <v>56</v>
      </c>
      <c r="B22">
        <v>41.500000000000043</v>
      </c>
      <c r="C22" s="2">
        <v>8.5311461824532833E-3</v>
      </c>
      <c r="D22" s="2">
        <v>1.2603495667365686E-2</v>
      </c>
      <c r="E22" s="2">
        <v>1.2086889941074663E-2</v>
      </c>
      <c r="F22" s="2">
        <v>1.0609865291208616E-2</v>
      </c>
      <c r="G22">
        <v>6.701707844584198E-3</v>
      </c>
      <c r="H22">
        <f t="shared" si="0"/>
        <v>1.5514111899929119</v>
      </c>
      <c r="I22">
        <f t="shared" si="2"/>
        <v>1.5615384611895862</v>
      </c>
      <c r="J22">
        <f t="shared" si="1"/>
        <v>0.86271852798194437</v>
      </c>
    </row>
    <row r="23" spans="1:10" x14ac:dyDescent="0.3">
      <c r="A23" t="s">
        <v>57</v>
      </c>
      <c r="B23">
        <v>49.000000000000028</v>
      </c>
      <c r="C23" s="2">
        <v>1.4138910037202818E-2</v>
      </c>
      <c r="D23" s="2">
        <v>1.903768888070427E-2</v>
      </c>
      <c r="E23" s="2">
        <v>1.5558381020055875E-2</v>
      </c>
      <c r="F23" s="2">
        <v>1.388878871665554E-2</v>
      </c>
      <c r="G23">
        <v>8.9079844540747525E-3</v>
      </c>
      <c r="H23">
        <f t="shared" si="0"/>
        <v>1.5493747226182144</v>
      </c>
      <c r="I23">
        <f t="shared" si="2"/>
        <v>1.5585128110749551</v>
      </c>
      <c r="J23">
        <f t="shared" si="1"/>
        <v>0.85439564662391287</v>
      </c>
    </row>
    <row r="24" spans="1:10" x14ac:dyDescent="0.3">
      <c r="A24" t="s">
        <v>15</v>
      </c>
      <c r="B24">
        <v>45.75</v>
      </c>
      <c r="C24" s="2">
        <v>1.2002686842853305E-2</v>
      </c>
      <c r="D24" s="2">
        <v>1.4994119321448725E-2</v>
      </c>
      <c r="E24" s="2">
        <v>1.2716703246389143E-2</v>
      </c>
      <c r="F24" s="2">
        <v>1.1866453141092958E-2</v>
      </c>
      <c r="G24">
        <v>8.9915068562589091E-3</v>
      </c>
      <c r="H24">
        <f t="shared" si="0"/>
        <v>1.6232848310256058</v>
      </c>
      <c r="I24">
        <f t="shared" si="2"/>
        <v>1.6406880033662457</v>
      </c>
      <c r="J24">
        <f t="shared" si="1"/>
        <v>0.88969752478297492</v>
      </c>
    </row>
    <row r="25" spans="1:10" x14ac:dyDescent="0.3">
      <c r="A25" t="s">
        <v>16</v>
      </c>
      <c r="B25">
        <v>47.500000000000014</v>
      </c>
      <c r="C25" s="2">
        <v>1.6947579004699297E-2</v>
      </c>
      <c r="D25" s="2">
        <v>1.9392735081136921E-2</v>
      </c>
      <c r="E25" s="2">
        <v>1.7576100396331142E-2</v>
      </c>
      <c r="F25" s="2">
        <v>1.6652571164573266E-2</v>
      </c>
      <c r="G25">
        <v>1.4144889923690274E-2</v>
      </c>
      <c r="H25">
        <f t="shared" si="0"/>
        <v>1.716614556744082</v>
      </c>
      <c r="I25">
        <f t="shared" si="2"/>
        <v>1.7365797256930864</v>
      </c>
      <c r="J25">
        <f t="shared" si="1"/>
        <v>0.93696140382118021</v>
      </c>
    </row>
    <row r="26" spans="1:10" x14ac:dyDescent="0.3">
      <c r="A26" t="s">
        <v>58</v>
      </c>
      <c r="B26">
        <v>55.249999999999986</v>
      </c>
      <c r="C26" s="2">
        <v>1.15520388623614E-2</v>
      </c>
      <c r="D26" s="2">
        <v>1.4092800011324496E-2</v>
      </c>
      <c r="E26" s="2">
        <v>1.2279047655467728E-2</v>
      </c>
      <c r="F26" s="2">
        <v>1.1302862670356203E-2</v>
      </c>
      <c r="G26">
        <v>9.1237266296883227E-3</v>
      </c>
      <c r="H26">
        <f t="shared" si="0"/>
        <v>1.6936836973334053</v>
      </c>
      <c r="I26">
        <f t="shared" si="2"/>
        <v>1.7127707892300839</v>
      </c>
      <c r="J26">
        <f t="shared" si="1"/>
        <v>0.93181051983821983</v>
      </c>
    </row>
    <row r="27" spans="1:10" x14ac:dyDescent="0.3">
      <c r="A27" t="s">
        <v>17</v>
      </c>
      <c r="B27">
        <v>50.249999999999957</v>
      </c>
      <c r="C27" s="2">
        <v>1.0878705552242469E-2</v>
      </c>
      <c r="D27" s="2">
        <v>1.7930471476066506E-2</v>
      </c>
      <c r="E27" s="2">
        <v>1.1917607534383543E-2</v>
      </c>
      <c r="F27" s="2">
        <v>9.4832882329801884E-3</v>
      </c>
      <c r="G27">
        <v>6.2018109003595832E-3</v>
      </c>
      <c r="H27">
        <f t="shared" si="0"/>
        <v>1.8790494672861624</v>
      </c>
      <c r="I27">
        <f t="shared" si="2"/>
        <v>1.8953175703543539</v>
      </c>
      <c r="J27">
        <f t="shared" si="1"/>
        <v>0.9645518331650611</v>
      </c>
    </row>
    <row r="28" spans="1:10" x14ac:dyDescent="0.3">
      <c r="A28" t="s">
        <v>18</v>
      </c>
      <c r="B28">
        <v>49.25</v>
      </c>
      <c r="C28" s="2">
        <v>3.0618523412138292E-3</v>
      </c>
      <c r="D28" s="2">
        <v>5.9354275516710067E-3</v>
      </c>
      <c r="E28" s="2">
        <v>3.4504216651751671E-3</v>
      </c>
      <c r="F28" s="2">
        <v>2.3295420410826767E-3</v>
      </c>
      <c r="G28">
        <v>9.0610947542723891E-4</v>
      </c>
      <c r="H28">
        <f t="shared" si="0"/>
        <v>1.852014994661388</v>
      </c>
      <c r="I28">
        <f t="shared" si="2"/>
        <v>1.8802651224890043</v>
      </c>
      <c r="J28">
        <f t="shared" si="1"/>
        <v>1.0007951812377622</v>
      </c>
    </row>
    <row r="29" spans="1:10" x14ac:dyDescent="0.3">
      <c r="A29" t="s">
        <v>59</v>
      </c>
      <c r="B29">
        <v>53.749999999999986</v>
      </c>
      <c r="C29" s="2">
        <v>7.8458591883181789E-3</v>
      </c>
      <c r="D29" s="2">
        <v>1.0502553700956312E-2</v>
      </c>
      <c r="E29" s="2">
        <v>8.5763966693973414E-3</v>
      </c>
      <c r="F29" s="2">
        <v>7.9770760246393752E-3</v>
      </c>
      <c r="G29">
        <v>6.1709972393147287E-3</v>
      </c>
      <c r="H29">
        <f t="shared" si="0"/>
        <v>1.626826074355336</v>
      </c>
      <c r="I29">
        <f t="shared" si="2"/>
        <v>1.6472079652705793</v>
      </c>
      <c r="J29">
        <f t="shared" si="1"/>
        <v>0.90221103534527425</v>
      </c>
    </row>
    <row r="30" spans="1:10" x14ac:dyDescent="0.3">
      <c r="A30" t="s">
        <v>19</v>
      </c>
      <c r="B30">
        <v>47.499999999999915</v>
      </c>
      <c r="C30" s="2">
        <v>1.1182705610876718E-2</v>
      </c>
      <c r="D30" s="2">
        <v>1.1834453101670382E-2</v>
      </c>
      <c r="E30" s="2">
        <v>1.0671029850535262E-2</v>
      </c>
      <c r="F30" s="2">
        <v>9.886664678875794E-3</v>
      </c>
      <c r="G30">
        <v>8.5456226001865369E-3</v>
      </c>
      <c r="H30">
        <f t="shared" si="0"/>
        <v>1.7399856295813905</v>
      </c>
      <c r="I30">
        <f t="shared" si="2"/>
        <v>1.7627938292476069</v>
      </c>
      <c r="J30">
        <f t="shared" si="1"/>
        <v>0.96403219070759483</v>
      </c>
    </row>
    <row r="31" spans="1:10" x14ac:dyDescent="0.3">
      <c r="A31" t="s">
        <v>20</v>
      </c>
      <c r="B31">
        <v>70.749999999999972</v>
      </c>
      <c r="C31">
        <v>2.2595455814129911E-3</v>
      </c>
      <c r="D31">
        <v>5.0254443475322994E-3</v>
      </c>
      <c r="E31">
        <v>3.089139594906776E-3</v>
      </c>
      <c r="F31">
        <v>2.0137570453197359E-3</v>
      </c>
      <c r="G31">
        <v>7.0348602593529679E-4</v>
      </c>
      <c r="H31">
        <f t="shared" si="0"/>
        <v>1.8781616282696654</v>
      </c>
      <c r="I31">
        <f t="shared" si="2"/>
        <v>1.9084428045464534</v>
      </c>
      <c r="J31">
        <f t="shared" si="1"/>
        <v>1.0260113764466652</v>
      </c>
    </row>
    <row r="32" spans="1:10" x14ac:dyDescent="0.3">
      <c r="A32" t="s">
        <v>21</v>
      </c>
      <c r="B32">
        <v>62.250000000000007</v>
      </c>
      <c r="C32">
        <v>2.4307239439691781E-3</v>
      </c>
      <c r="D32">
        <v>4.8182278227681787E-3</v>
      </c>
      <c r="E32">
        <v>3.679938073247718E-3</v>
      </c>
      <c r="F32">
        <v>2.6821434823455599E-3</v>
      </c>
      <c r="G32">
        <v>1.5081095591292419E-3</v>
      </c>
      <c r="H32">
        <f t="shared" si="0"/>
        <v>2.0035349502431195</v>
      </c>
      <c r="I32">
        <f t="shared" si="2"/>
        <v>2.0383074545066804</v>
      </c>
      <c r="J32">
        <f t="shared" si="1"/>
        <v>1.0023259823624859</v>
      </c>
    </row>
    <row r="33" spans="1:10" x14ac:dyDescent="0.3">
      <c r="A33" t="s">
        <v>22</v>
      </c>
      <c r="B33">
        <v>58.249999999999972</v>
      </c>
      <c r="C33">
        <v>2.453896058086985E-3</v>
      </c>
      <c r="D33">
        <v>3.6648158940241799E-3</v>
      </c>
      <c r="E33">
        <v>3.08123313618635E-3</v>
      </c>
      <c r="F33">
        <v>2.484358193358769E-3</v>
      </c>
      <c r="G33">
        <v>1.7462677359110579E-3</v>
      </c>
      <c r="H33">
        <f t="shared" si="0"/>
        <v>1.8262333393844801</v>
      </c>
      <c r="I33">
        <f t="shared" si="2"/>
        <v>1.8585985819096038</v>
      </c>
      <c r="J33">
        <f t="shared" si="1"/>
        <v>0.98129179138344724</v>
      </c>
    </row>
    <row r="34" spans="1:10" x14ac:dyDescent="0.3">
      <c r="A34" t="s">
        <v>23</v>
      </c>
      <c r="B34">
        <v>47.25</v>
      </c>
      <c r="C34">
        <v>2.453896058086985E-3</v>
      </c>
      <c r="D34">
        <v>3.6648158940241799E-3</v>
      </c>
      <c r="E34">
        <v>3.08123313618635E-3</v>
      </c>
      <c r="F34">
        <v>2.484358193358769E-3</v>
      </c>
      <c r="G34">
        <v>1.7462677359110579E-3</v>
      </c>
      <c r="H34">
        <f t="shared" si="0"/>
        <v>1.8262333393844801</v>
      </c>
      <c r="I34">
        <f t="shared" si="2"/>
        <v>1.8585985819096038</v>
      </c>
      <c r="J34">
        <f t="shared" si="1"/>
        <v>0.98129179138344724</v>
      </c>
    </row>
    <row r="35" spans="1:10" x14ac:dyDescent="0.3">
      <c r="A35" t="s">
        <v>25</v>
      </c>
      <c r="B35">
        <v>60.500000000000057</v>
      </c>
      <c r="C35">
        <v>3.7674819198200349E-3</v>
      </c>
      <c r="D35">
        <v>7.0520373826288311E-3</v>
      </c>
      <c r="E35">
        <v>3.9607429149117728E-3</v>
      </c>
      <c r="F35">
        <v>2.6963119188730279E-3</v>
      </c>
      <c r="G35">
        <v>1.140815417498031E-3</v>
      </c>
      <c r="H35">
        <f t="shared" si="0"/>
        <v>1.9487080755010693</v>
      </c>
      <c r="I35">
        <f t="shared" si="2"/>
        <v>1.9785399344598575</v>
      </c>
      <c r="J35">
        <f t="shared" si="1"/>
        <v>1.0074124598502143</v>
      </c>
    </row>
    <row r="36" spans="1:10" x14ac:dyDescent="0.3">
      <c r="A36" t="s">
        <v>26</v>
      </c>
      <c r="B36">
        <v>64.25</v>
      </c>
      <c r="C36">
        <v>3.8157784316496632E-3</v>
      </c>
      <c r="D36">
        <v>6.5236408239104909E-3</v>
      </c>
      <c r="E36">
        <v>4.0272285275524938E-3</v>
      </c>
      <c r="F36">
        <v>3.0621200789284399E-3</v>
      </c>
      <c r="G36">
        <v>1.997642248440954E-3</v>
      </c>
      <c r="H36">
        <f t="shared" si="0"/>
        <v>2.0129229988806419</v>
      </c>
      <c r="I36">
        <f t="shared" si="2"/>
        <v>2.0479039806134933</v>
      </c>
      <c r="J36">
        <f t="shared" si="1"/>
        <v>1.0090577033952206</v>
      </c>
    </row>
    <row r="37" spans="1:10" x14ac:dyDescent="0.3">
      <c r="A37" t="s">
        <v>27</v>
      </c>
      <c r="B37">
        <v>23.999999999999989</v>
      </c>
      <c r="C37">
        <v>3.7354425634437889E-3</v>
      </c>
      <c r="D37">
        <v>5.3381376908201404E-3</v>
      </c>
      <c r="E37">
        <v>4.0620579716581558E-3</v>
      </c>
      <c r="F37">
        <v>3.570825684235078E-3</v>
      </c>
      <c r="G37">
        <v>1.7381865840672701E-3</v>
      </c>
      <c r="H37">
        <f t="shared" si="0"/>
        <v>1.3126778853654595</v>
      </c>
      <c r="I37">
        <f t="shared" si="2"/>
        <v>1.3209014734997377</v>
      </c>
      <c r="J37">
        <f t="shared" si="1"/>
        <v>0.78113706960474438</v>
      </c>
    </row>
    <row r="38" spans="1:10" x14ac:dyDescent="0.3">
      <c r="A38" t="s">
        <v>28</v>
      </c>
      <c r="B38">
        <v>20.000000000000011</v>
      </c>
      <c r="C38">
        <v>3.1255862069854228E-3</v>
      </c>
      <c r="D38">
        <v>5.2436964823839817E-3</v>
      </c>
      <c r="E38">
        <v>3.8958741848213211E-3</v>
      </c>
      <c r="F38">
        <v>3.546588835259917E-3</v>
      </c>
      <c r="G38">
        <v>1.6126506867082291E-3</v>
      </c>
      <c r="H38">
        <f t="shared" si="0"/>
        <v>1.263063044969841</v>
      </c>
      <c r="I38">
        <f t="shared" si="2"/>
        <v>1.2704658439332148</v>
      </c>
      <c r="J38">
        <f t="shared" si="1"/>
        <v>0.73582723826224861</v>
      </c>
    </row>
    <row r="39" spans="1:10" x14ac:dyDescent="0.3">
      <c r="A39" t="s">
        <v>29</v>
      </c>
      <c r="B39">
        <v>18.750000000000011</v>
      </c>
      <c r="C39">
        <v>3.3995557329501631E-3</v>
      </c>
      <c r="D39">
        <v>5.0887393087517482E-3</v>
      </c>
      <c r="E39">
        <v>3.9873353526212272E-3</v>
      </c>
      <c r="F39">
        <v>3.5480728562338028E-3</v>
      </c>
      <c r="G39">
        <v>1.921995105755392E-3</v>
      </c>
      <c r="H39">
        <f t="shared" si="0"/>
        <v>1.3730013800122993</v>
      </c>
      <c r="I39">
        <f t="shared" si="2"/>
        <v>1.3846644994045449</v>
      </c>
      <c r="J39">
        <f t="shared" si="1"/>
        <v>0.80045101437082156</v>
      </c>
    </row>
    <row r="40" spans="1:10" x14ac:dyDescent="0.3">
      <c r="A40" t="s">
        <v>30</v>
      </c>
      <c r="B40">
        <v>29.49999999999994</v>
      </c>
      <c r="C40">
        <v>3.456927930406094E-3</v>
      </c>
      <c r="D40">
        <v>5.2044235108298998E-3</v>
      </c>
      <c r="E40">
        <v>3.74845167471374E-3</v>
      </c>
      <c r="F40">
        <v>3.8524490917186431E-3</v>
      </c>
      <c r="G40">
        <v>1.6093442504631281E-3</v>
      </c>
      <c r="H40">
        <f t="shared" si="0"/>
        <v>1.3628143380144555</v>
      </c>
      <c r="I40">
        <f t="shared" si="2"/>
        <v>1.3856219255357232</v>
      </c>
      <c r="J40">
        <f t="shared" si="1"/>
        <v>0.62792631267805477</v>
      </c>
    </row>
    <row r="41" spans="1:10" x14ac:dyDescent="0.3">
      <c r="A41" t="s">
        <v>31</v>
      </c>
      <c r="B41">
        <v>28.000000000000039</v>
      </c>
      <c r="C41">
        <v>3.8870146971654528E-3</v>
      </c>
      <c r="D41">
        <v>6.43892368682883E-3</v>
      </c>
      <c r="E41">
        <v>4.5156065091741743E-3</v>
      </c>
      <c r="F41">
        <v>3.9573590198643347E-3</v>
      </c>
      <c r="G41">
        <v>1.634828256342412E-3</v>
      </c>
      <c r="H41">
        <f t="shared" si="0"/>
        <v>1.2208659125247521</v>
      </c>
      <c r="I41">
        <f t="shared" si="2"/>
        <v>1.224087435388246</v>
      </c>
      <c r="J41">
        <f t="shared" si="1"/>
        <v>0.74628513984332878</v>
      </c>
    </row>
    <row r="42" spans="1:10" x14ac:dyDescent="0.3">
      <c r="A42" t="s">
        <v>32</v>
      </c>
      <c r="B42">
        <v>28.499999999999979</v>
      </c>
      <c r="C42">
        <v>6.7706116888076899E-3</v>
      </c>
      <c r="D42">
        <v>7.973517145938849E-3</v>
      </c>
      <c r="E42">
        <v>5.5236019168040636E-3</v>
      </c>
      <c r="F42">
        <v>4.7322042916654204E-3</v>
      </c>
      <c r="G42">
        <v>2.5147003980729768E-3</v>
      </c>
      <c r="H42">
        <f t="shared" si="0"/>
        <v>1.4127954613490412</v>
      </c>
      <c r="I42">
        <f t="shared" si="2"/>
        <v>1.4225476385667353</v>
      </c>
      <c r="J42">
        <f t="shared" si="1"/>
        <v>0.82704414520923519</v>
      </c>
    </row>
    <row r="43" spans="1:10" x14ac:dyDescent="0.3">
      <c r="A43" t="s">
        <v>33</v>
      </c>
      <c r="B43">
        <v>27.49999999999995</v>
      </c>
      <c r="C43">
        <v>4.1580601327395458E-3</v>
      </c>
      <c r="D43">
        <v>6.6993867383540471E-3</v>
      </c>
      <c r="E43">
        <v>4.5757067720218298E-3</v>
      </c>
      <c r="F43">
        <v>4.0365204092467884E-3</v>
      </c>
      <c r="G43">
        <v>1.768438653033949E-3</v>
      </c>
      <c r="H43">
        <f t="shared" si="0"/>
        <v>1.25168763825778</v>
      </c>
      <c r="I43">
        <f t="shared" si="2"/>
        <v>1.2564716393776134</v>
      </c>
      <c r="J43">
        <f t="shared" si="1"/>
        <v>0.75317315670126195</v>
      </c>
    </row>
    <row r="44" spans="1:10" x14ac:dyDescent="0.3">
      <c r="A44" t="s">
        <v>34</v>
      </c>
      <c r="B44">
        <v>32.500000000000028</v>
      </c>
      <c r="C44">
        <v>1.0221695784269839E-2</v>
      </c>
      <c r="D44">
        <v>1.2499892404650201E-2</v>
      </c>
      <c r="E44">
        <v>9.5653990299993056E-3</v>
      </c>
      <c r="F44">
        <v>8.5878905782149802E-3</v>
      </c>
      <c r="G44">
        <v>4.4096470243824466E-3</v>
      </c>
      <c r="H44">
        <f t="shared" si="0"/>
        <v>1.3621821640044685</v>
      </c>
      <c r="I44">
        <f t="shared" si="2"/>
        <v>1.3682177134663434</v>
      </c>
      <c r="J44">
        <f t="shared" si="1"/>
        <v>0.77781472161588994</v>
      </c>
    </row>
    <row r="45" spans="1:10" x14ac:dyDescent="0.3">
      <c r="A45" t="s">
        <v>35</v>
      </c>
      <c r="B45">
        <v>33.500000000000057</v>
      </c>
      <c r="C45">
        <v>6.0545052159143549E-3</v>
      </c>
      <c r="D45">
        <v>9.0104206298999602E-3</v>
      </c>
      <c r="E45">
        <v>6.4464353672441096E-3</v>
      </c>
      <c r="F45">
        <v>6.9223052286405346E-3</v>
      </c>
      <c r="G45">
        <v>3.0394087302516382E-3</v>
      </c>
      <c r="H45">
        <f t="shared" si="0"/>
        <v>1.4861210280449648</v>
      </c>
      <c r="I45">
        <f t="shared" si="2"/>
        <v>1.5213720360231993</v>
      </c>
      <c r="J45">
        <f t="shared" si="1"/>
        <v>0.60982063867895953</v>
      </c>
    </row>
    <row r="46" spans="1:10" x14ac:dyDescent="0.3">
      <c r="A46" t="s">
        <v>36</v>
      </c>
      <c r="B46">
        <v>32.500000000000021</v>
      </c>
      <c r="C46">
        <v>6.1764544685638618E-3</v>
      </c>
      <c r="D46">
        <v>9.7835070710010821E-3</v>
      </c>
      <c r="E46">
        <v>7.2544849422202058E-3</v>
      </c>
      <c r="F46">
        <v>7.0934380982581122E-3</v>
      </c>
      <c r="G46">
        <v>3.0645680360378829E-3</v>
      </c>
      <c r="H46">
        <f t="shared" si="0"/>
        <v>1.3026175252243997</v>
      </c>
      <c r="I46">
        <f t="shared" si="2"/>
        <v>1.3144007106953941</v>
      </c>
      <c r="J46">
        <f t="shared" si="1"/>
        <v>0.66988378503378743</v>
      </c>
    </row>
    <row r="47" spans="1:10" x14ac:dyDescent="0.3">
      <c r="A47" t="s">
        <v>37</v>
      </c>
      <c r="B47">
        <v>32.250000000000057</v>
      </c>
      <c r="C47">
        <v>4.5602785568120054E-3</v>
      </c>
      <c r="D47">
        <v>7.3681067419064904E-3</v>
      </c>
      <c r="E47">
        <v>5.0667818429726659E-3</v>
      </c>
      <c r="F47">
        <v>4.6336209058095486E-3</v>
      </c>
      <c r="G47">
        <v>1.9860678493141279E-3</v>
      </c>
      <c r="H47">
        <f t="shared" si="0"/>
        <v>1.2415779306265233</v>
      </c>
      <c r="I47">
        <f t="shared" si="2"/>
        <v>1.2468918417242847</v>
      </c>
      <c r="J47">
        <f t="shared" si="1"/>
        <v>0.71902103816603757</v>
      </c>
    </row>
    <row r="48" spans="1:10" x14ac:dyDescent="0.3">
      <c r="A48" t="s">
        <v>38</v>
      </c>
      <c r="B48">
        <v>27.500000000000021</v>
      </c>
      <c r="C48">
        <v>5.9962584208503762E-3</v>
      </c>
      <c r="D48">
        <v>8.8644458305106692E-3</v>
      </c>
      <c r="E48">
        <v>6.3296126194208524E-3</v>
      </c>
      <c r="F48">
        <v>6.1707450564041037E-3</v>
      </c>
      <c r="G48">
        <v>2.685837872554732E-3</v>
      </c>
      <c r="H48">
        <f t="shared" si="0"/>
        <v>1.299152944931927</v>
      </c>
      <c r="I48">
        <f t="shared" si="2"/>
        <v>1.3109671397801672</v>
      </c>
      <c r="J48">
        <f t="shared" si="1"/>
        <v>0.67365531392727029</v>
      </c>
    </row>
    <row r="49" spans="1:10" x14ac:dyDescent="0.3">
      <c r="A49" t="s">
        <v>39</v>
      </c>
      <c r="B49">
        <v>33.000000000000043</v>
      </c>
      <c r="C49">
        <v>1.01021586190217E-2</v>
      </c>
      <c r="D49">
        <v>1.3043823095319221E-2</v>
      </c>
      <c r="E49">
        <v>1.0443958120880189E-2</v>
      </c>
      <c r="F49">
        <v>9.3292746800503513E-3</v>
      </c>
      <c r="G49">
        <v>4.5691241811019684E-3</v>
      </c>
      <c r="H49">
        <f t="shared" si="0"/>
        <v>1.3379905526229894</v>
      </c>
      <c r="I49">
        <f t="shared" si="2"/>
        <v>1.3422255198981059</v>
      </c>
      <c r="J49">
        <f t="shared" si="1"/>
        <v>0.76937285127453958</v>
      </c>
    </row>
    <row r="50" spans="1:10" x14ac:dyDescent="0.3">
      <c r="A50" t="s">
        <v>40</v>
      </c>
      <c r="B50">
        <v>35.5</v>
      </c>
      <c r="C50">
        <v>1.006615267707673E-2</v>
      </c>
      <c r="D50">
        <v>1.3657960571486419E-2</v>
      </c>
      <c r="E50">
        <v>1.153984567075121E-2</v>
      </c>
      <c r="F50">
        <v>1.056241396581825E-2</v>
      </c>
      <c r="G50">
        <v>5.168238032111255E-3</v>
      </c>
      <c r="H50">
        <f t="shared" si="0"/>
        <v>1.3327321017560976</v>
      </c>
      <c r="I50">
        <f t="shared" si="2"/>
        <v>1.3378118299498827</v>
      </c>
      <c r="J50">
        <f t="shared" si="1"/>
        <v>0.74942886805419484</v>
      </c>
    </row>
    <row r="51" spans="1:10" x14ac:dyDescent="0.3">
      <c r="A51" t="s">
        <v>41</v>
      </c>
      <c r="B51">
        <v>30.500000000000039</v>
      </c>
      <c r="C51">
        <v>9.7867376335066987E-3</v>
      </c>
      <c r="D51">
        <v>1.25164849089475E-2</v>
      </c>
      <c r="E51">
        <v>9.516180289188849E-3</v>
      </c>
      <c r="F51">
        <v>8.5104241678821222E-3</v>
      </c>
      <c r="G51">
        <v>4.1815766050886521E-3</v>
      </c>
      <c r="H51">
        <f t="shared" si="0"/>
        <v>1.3363760241966123</v>
      </c>
      <c r="I51">
        <f t="shared" si="2"/>
        <v>1.3411819225252575</v>
      </c>
      <c r="J51">
        <f t="shared" si="1"/>
        <v>0.76925031341320804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2BB6A-143D-4755-8E25-122D92564E05}">
  <dimension ref="A1:G53"/>
  <sheetViews>
    <sheetView topLeftCell="A46" workbookViewId="0">
      <selection activeCell="A44" sqref="A44:XFD44"/>
    </sheetView>
  </sheetViews>
  <sheetFormatPr defaultRowHeight="14.4" x14ac:dyDescent="0.3"/>
  <cols>
    <col min="3" max="3" width="12" bestFit="1" customWidth="1"/>
    <col min="5" max="5" width="12" bestFit="1" customWidth="1"/>
  </cols>
  <sheetData>
    <row r="1" spans="1:7" x14ac:dyDescent="0.3">
      <c r="A1" s="1" t="s">
        <v>0</v>
      </c>
      <c r="B1" s="1" t="s">
        <v>1</v>
      </c>
      <c r="C1" t="s">
        <v>63</v>
      </c>
      <c r="D1" t="s">
        <v>64</v>
      </c>
      <c r="E1" t="s">
        <v>65</v>
      </c>
      <c r="F1" t="s">
        <v>66</v>
      </c>
      <c r="G1" t="s">
        <v>46</v>
      </c>
    </row>
    <row r="2" spans="1:7" x14ac:dyDescent="0.3">
      <c r="A2" t="s">
        <v>2</v>
      </c>
      <c r="B2">
        <v>36.000000000000036</v>
      </c>
      <c r="C2">
        <v>1.0417017049888868E-2</v>
      </c>
      <c r="D2">
        <v>1.4881649594409348E-2</v>
      </c>
      <c r="E2">
        <v>1.4811581035903833E-2</v>
      </c>
      <c r="F2">
        <v>1.2048873613380501E-2</v>
      </c>
      <c r="G2">
        <v>5.5344983595535645E-3</v>
      </c>
    </row>
    <row r="3" spans="1:7" x14ac:dyDescent="0.3">
      <c r="A3" t="s">
        <v>48</v>
      </c>
      <c r="B3">
        <v>36</v>
      </c>
      <c r="C3">
        <v>9.935392013978939E-3</v>
      </c>
      <c r="D3">
        <v>1.4388976173750363E-2</v>
      </c>
      <c r="E3">
        <v>1.4254431781471106E-2</v>
      </c>
      <c r="F3">
        <v>1.1446001665448909E-2</v>
      </c>
      <c r="G3">
        <v>5.3257457454138233E-3</v>
      </c>
    </row>
    <row r="4" spans="1:7" x14ac:dyDescent="0.3">
      <c r="A4" t="s">
        <v>3</v>
      </c>
      <c r="B4">
        <v>35.000000000000043</v>
      </c>
      <c r="C4" s="2">
        <v>8.4351972613835469E-3</v>
      </c>
      <c r="D4" s="2">
        <v>1.2475606905806656E-2</v>
      </c>
      <c r="E4" s="2">
        <v>1.2200427640451308E-2</v>
      </c>
      <c r="F4" s="2">
        <v>9.6705757563013191E-3</v>
      </c>
      <c r="G4">
        <v>4.4373477606748195E-3</v>
      </c>
    </row>
    <row r="5" spans="1:7" x14ac:dyDescent="0.3">
      <c r="A5" t="s">
        <v>4</v>
      </c>
      <c r="B5">
        <v>29.999999999999972</v>
      </c>
      <c r="C5" s="2">
        <v>8.7442720615152451E-3</v>
      </c>
      <c r="D5" s="2">
        <v>1.2758082191670194E-2</v>
      </c>
      <c r="E5" s="2">
        <v>1.1951740779427211E-2</v>
      </c>
      <c r="F5" s="2">
        <v>9.2450658494283265E-3</v>
      </c>
      <c r="G5">
        <v>4.2855484994228626E-3</v>
      </c>
    </row>
    <row r="6" spans="1:7" x14ac:dyDescent="0.3">
      <c r="A6" t="s">
        <v>49</v>
      </c>
      <c r="B6">
        <v>28.249999999999954</v>
      </c>
      <c r="C6" s="2">
        <v>7.9158729854167248E-3</v>
      </c>
      <c r="D6" s="2">
        <v>1.1556179113000952E-2</v>
      </c>
      <c r="E6" s="2">
        <v>1.0752583668866892E-2</v>
      </c>
      <c r="F6" s="2">
        <v>8.2881675469868507E-3</v>
      </c>
      <c r="G6">
        <v>3.8643152706749938E-3</v>
      </c>
    </row>
    <row r="7" spans="1:7" x14ac:dyDescent="0.3">
      <c r="A7" t="s">
        <v>5</v>
      </c>
      <c r="B7">
        <v>49.5</v>
      </c>
      <c r="C7" s="2">
        <v>5.3483326267601567E-3</v>
      </c>
      <c r="D7" s="2">
        <v>7.5550049968457784E-3</v>
      </c>
      <c r="E7" s="2">
        <v>6.7352460829712257E-3</v>
      </c>
      <c r="F7" s="2">
        <v>5.7574639288478172E-3</v>
      </c>
      <c r="G7">
        <v>3.4567660592154065E-3</v>
      </c>
    </row>
    <row r="8" spans="1:7" x14ac:dyDescent="0.3">
      <c r="A8" t="s">
        <v>6</v>
      </c>
      <c r="B8">
        <v>46.750000000000028</v>
      </c>
      <c r="C8" s="2">
        <v>4.4972358649532276E-3</v>
      </c>
      <c r="D8" s="2">
        <v>6.6781764623962065E-3</v>
      </c>
      <c r="E8" s="2">
        <v>5.7334485337865778E-3</v>
      </c>
      <c r="F8" s="2">
        <v>4.3078976694097392E-3</v>
      </c>
      <c r="G8">
        <v>2.1213781497103554E-3</v>
      </c>
    </row>
    <row r="9" spans="1:7" x14ac:dyDescent="0.3">
      <c r="A9" t="s">
        <v>50</v>
      </c>
      <c r="B9">
        <v>44.5</v>
      </c>
      <c r="C9" s="2">
        <v>4.2022660516422934E-3</v>
      </c>
      <c r="D9" s="2">
        <v>6.1474337384264137E-3</v>
      </c>
      <c r="E9" s="2">
        <v>5.3552707266567292E-3</v>
      </c>
      <c r="F9" s="2">
        <v>4.0924481414364505E-3</v>
      </c>
      <c r="G9">
        <v>2.1437920255000208E-3</v>
      </c>
    </row>
    <row r="10" spans="1:7" x14ac:dyDescent="0.3">
      <c r="A10" t="s">
        <v>7</v>
      </c>
      <c r="B10">
        <v>41.749999999999957</v>
      </c>
      <c r="C10" s="2">
        <v>5.211390676634297E-3</v>
      </c>
      <c r="D10" s="2">
        <v>6.9103725397815733E-3</v>
      </c>
      <c r="E10" s="2">
        <v>5.9430591114124562E-3</v>
      </c>
      <c r="F10" s="2">
        <v>4.9133034961699089E-3</v>
      </c>
      <c r="G10">
        <v>3.0858493600724704E-3</v>
      </c>
    </row>
    <row r="11" spans="1:7" x14ac:dyDescent="0.3">
      <c r="A11" t="s">
        <v>8</v>
      </c>
      <c r="B11">
        <v>46.499999999999986</v>
      </c>
      <c r="C11" s="2">
        <v>1.7623641815080127E-2</v>
      </c>
      <c r="D11" s="2">
        <v>1.8209696527929961E-2</v>
      </c>
      <c r="E11" s="2">
        <v>1.7671195709544996E-2</v>
      </c>
      <c r="F11" s="2">
        <v>1.7562204742319086E-2</v>
      </c>
      <c r="G11">
        <v>1.590303201639939E-2</v>
      </c>
    </row>
    <row r="12" spans="1:7" x14ac:dyDescent="0.3">
      <c r="A12" t="s">
        <v>51</v>
      </c>
      <c r="B12">
        <v>43.49999999999995</v>
      </c>
      <c r="C12" s="2">
        <v>5.1288302581358313E-3</v>
      </c>
      <c r="D12" s="2">
        <v>8.0881613441818965E-3</v>
      </c>
      <c r="E12" s="2">
        <v>6.885592681464622E-3</v>
      </c>
      <c r="F12" s="2">
        <v>5.2921877605242957E-3</v>
      </c>
      <c r="G12">
        <v>2.6905196501004285E-3</v>
      </c>
    </row>
    <row r="13" spans="1:7" x14ac:dyDescent="0.3">
      <c r="A13" t="s">
        <v>9</v>
      </c>
      <c r="B13">
        <v>43.999999999999964</v>
      </c>
      <c r="C13" s="2">
        <v>5.1634055525783748E-3</v>
      </c>
      <c r="D13" s="2">
        <v>7.6210046962994328E-3</v>
      </c>
      <c r="E13" s="2">
        <v>6.5154006633880981E-3</v>
      </c>
      <c r="F13" s="2">
        <v>5.1375431804476642E-3</v>
      </c>
      <c r="G13">
        <v>2.6143130239149105E-3</v>
      </c>
    </row>
    <row r="14" spans="1:7" x14ac:dyDescent="0.3">
      <c r="A14" t="s">
        <v>10</v>
      </c>
      <c r="B14">
        <v>46.250000000000064</v>
      </c>
      <c r="C14" s="2">
        <v>4.7957418492512302E-3</v>
      </c>
      <c r="D14" s="2">
        <v>7.0262070371567955E-3</v>
      </c>
      <c r="E14" s="2">
        <v>6.1786041679127504E-3</v>
      </c>
      <c r="F14" s="2">
        <v>5.1650235865973292E-3</v>
      </c>
      <c r="G14">
        <v>2.9440553268687566E-3</v>
      </c>
    </row>
    <row r="15" spans="1:7" x14ac:dyDescent="0.3">
      <c r="A15" t="s">
        <v>52</v>
      </c>
      <c r="B15">
        <v>46.500000000000036</v>
      </c>
      <c r="C15" s="2">
        <v>4.5678431395782563E-3</v>
      </c>
      <c r="D15" s="2">
        <v>5.9302835470394794E-3</v>
      </c>
      <c r="E15" s="2">
        <v>5.1481603750112119E-3</v>
      </c>
      <c r="F15" s="2">
        <v>4.4877615446281983E-3</v>
      </c>
      <c r="G15">
        <v>3.5026537416570137E-3</v>
      </c>
    </row>
    <row r="16" spans="1:7" x14ac:dyDescent="0.3">
      <c r="A16" t="s">
        <v>11</v>
      </c>
      <c r="B16">
        <v>45.749999999999957</v>
      </c>
      <c r="C16" s="2">
        <v>3.7265627767891578E-3</v>
      </c>
      <c r="D16" s="2">
        <v>6.0713586552081367E-3</v>
      </c>
      <c r="E16" s="2">
        <v>4.9852174679006957E-3</v>
      </c>
      <c r="F16" s="2">
        <v>3.7760353831543282E-3</v>
      </c>
      <c r="G16">
        <v>1.7487465540475598E-3</v>
      </c>
    </row>
    <row r="17" spans="1:7" x14ac:dyDescent="0.3">
      <c r="A17" t="s">
        <v>12</v>
      </c>
      <c r="B17">
        <v>43.499999999999993</v>
      </c>
      <c r="C17" s="2">
        <v>3.724698057460668E-3</v>
      </c>
      <c r="D17" s="2">
        <v>5.7940897929609787E-3</v>
      </c>
      <c r="E17" s="2">
        <v>4.7417858484200617E-3</v>
      </c>
      <c r="F17" s="2">
        <v>3.5668085606207871E-3</v>
      </c>
      <c r="G17">
        <v>1.755478153581591E-3</v>
      </c>
    </row>
    <row r="18" spans="1:7" x14ac:dyDescent="0.3">
      <c r="A18" t="s">
        <v>53</v>
      </c>
      <c r="B18">
        <v>40.50000000000005</v>
      </c>
      <c r="C18" s="2">
        <v>3.7265627767891578E-3</v>
      </c>
      <c r="D18" s="2">
        <v>6.0713586552081367E-3</v>
      </c>
      <c r="E18" s="2">
        <v>4.9852174679006957E-3</v>
      </c>
      <c r="F18" s="2">
        <v>3.7760353831543282E-3</v>
      </c>
      <c r="G18">
        <v>1.7487465540475598E-3</v>
      </c>
    </row>
    <row r="19" spans="1:7" x14ac:dyDescent="0.3">
      <c r="A19" t="s">
        <v>54</v>
      </c>
      <c r="B19">
        <v>45.999999999999929</v>
      </c>
      <c r="C19" s="2">
        <v>5.7853204371646049E-3</v>
      </c>
      <c r="D19" s="2">
        <v>8.2138060340576878E-3</v>
      </c>
      <c r="E19" s="2">
        <v>6.9246272046820335E-3</v>
      </c>
      <c r="F19" s="2">
        <v>5.6095188235010278E-3</v>
      </c>
      <c r="G19">
        <v>3.5251730641010014E-3</v>
      </c>
    </row>
    <row r="20" spans="1:7" x14ac:dyDescent="0.3">
      <c r="A20" t="s">
        <v>13</v>
      </c>
      <c r="B20">
        <v>28.499999999999986</v>
      </c>
      <c r="C20" s="2">
        <v>3.0084625235070783E-3</v>
      </c>
      <c r="D20" s="2">
        <v>4.1001421904783243E-3</v>
      </c>
      <c r="E20" s="2">
        <v>3.8804960407999804E-3</v>
      </c>
      <c r="F20" s="2">
        <v>3.4567846272045284E-3</v>
      </c>
      <c r="G20">
        <v>1.8299928047474376E-3</v>
      </c>
    </row>
    <row r="21" spans="1:7" x14ac:dyDescent="0.3">
      <c r="A21" t="s">
        <v>55</v>
      </c>
      <c r="B21">
        <v>44.250000000000021</v>
      </c>
      <c r="C21" s="2">
        <v>1.1932925625047094E-2</v>
      </c>
      <c r="D21" s="2">
        <v>1.5371643155290469E-2</v>
      </c>
      <c r="E21" s="2">
        <v>1.4236293012086447E-2</v>
      </c>
      <c r="F21" s="2">
        <v>1.2750919118583537E-2</v>
      </c>
      <c r="G21">
        <v>9.351347016455196E-3</v>
      </c>
    </row>
    <row r="22" spans="1:7" x14ac:dyDescent="0.3">
      <c r="A22" t="s">
        <v>56</v>
      </c>
      <c r="B22">
        <v>41.500000000000043</v>
      </c>
      <c r="C22" s="2">
        <v>8.5311461824532833E-3</v>
      </c>
      <c r="D22" s="2">
        <v>1.2603495667365686E-2</v>
      </c>
      <c r="E22" s="2">
        <v>1.2086889941074663E-2</v>
      </c>
      <c r="F22" s="2">
        <v>1.0609865291208616E-2</v>
      </c>
      <c r="G22">
        <v>6.701707844584198E-3</v>
      </c>
    </row>
    <row r="23" spans="1:7" x14ac:dyDescent="0.3">
      <c r="A23" t="s">
        <v>14</v>
      </c>
      <c r="B23">
        <v>53</v>
      </c>
      <c r="C23" s="2">
        <v>5.8159340351588628E-3</v>
      </c>
      <c r="D23" s="2">
        <v>8.5450829115623645E-3</v>
      </c>
      <c r="E23" s="2">
        <v>6.4309321930044669E-3</v>
      </c>
      <c r="F23" s="2">
        <v>5.4085889406888616E-3</v>
      </c>
      <c r="G23">
        <v>2.7419816416322839E-3</v>
      </c>
    </row>
    <row r="24" spans="1:7" x14ac:dyDescent="0.3">
      <c r="A24" t="s">
        <v>57</v>
      </c>
      <c r="B24">
        <v>49.000000000000028</v>
      </c>
      <c r="C24" s="2">
        <v>1.4138910037202818E-2</v>
      </c>
      <c r="D24" s="2">
        <v>1.903768888070427E-2</v>
      </c>
      <c r="E24" s="2">
        <v>1.5558381020055875E-2</v>
      </c>
      <c r="F24" s="2">
        <v>1.388878871665554E-2</v>
      </c>
      <c r="G24">
        <v>8.9079844540747525E-3</v>
      </c>
    </row>
    <row r="25" spans="1:7" x14ac:dyDescent="0.3">
      <c r="A25" t="s">
        <v>15</v>
      </c>
      <c r="B25">
        <v>45.75</v>
      </c>
      <c r="C25" s="2">
        <v>1.2002686842853305E-2</v>
      </c>
      <c r="D25" s="2">
        <v>1.4994119321448725E-2</v>
      </c>
      <c r="E25" s="2">
        <v>1.2716703246389143E-2</v>
      </c>
      <c r="F25" s="2">
        <v>1.1866453141092958E-2</v>
      </c>
      <c r="G25">
        <v>8.9915068562589091E-3</v>
      </c>
    </row>
    <row r="26" spans="1:7" x14ac:dyDescent="0.3">
      <c r="A26" t="s">
        <v>16</v>
      </c>
      <c r="B26">
        <v>47.500000000000014</v>
      </c>
      <c r="C26" s="2">
        <v>1.6947579004699297E-2</v>
      </c>
      <c r="D26" s="2">
        <v>1.9392735081136921E-2</v>
      </c>
      <c r="E26" s="2">
        <v>1.7576100396331142E-2</v>
      </c>
      <c r="F26" s="2">
        <v>1.6652571164573266E-2</v>
      </c>
      <c r="G26">
        <v>1.4144889923690274E-2</v>
      </c>
    </row>
    <row r="27" spans="1:7" x14ac:dyDescent="0.3">
      <c r="A27" t="s">
        <v>58</v>
      </c>
      <c r="B27">
        <v>55.249999999999986</v>
      </c>
      <c r="C27" s="2">
        <v>1.15520388623614E-2</v>
      </c>
      <c r="D27" s="2">
        <v>1.4092800011324496E-2</v>
      </c>
      <c r="E27" s="2">
        <v>1.2279047655467728E-2</v>
      </c>
      <c r="F27" s="2">
        <v>1.1302862670356203E-2</v>
      </c>
      <c r="G27">
        <v>9.1237266296883227E-3</v>
      </c>
    </row>
    <row r="28" spans="1:7" x14ac:dyDescent="0.3">
      <c r="A28" t="s">
        <v>17</v>
      </c>
      <c r="B28">
        <v>50.249999999999957</v>
      </c>
      <c r="C28" s="2">
        <v>1.0878705552242469E-2</v>
      </c>
      <c r="D28" s="2">
        <v>1.7930471476066506E-2</v>
      </c>
      <c r="E28" s="2">
        <v>1.1917607534383543E-2</v>
      </c>
      <c r="F28" s="2">
        <v>9.4832882329801884E-3</v>
      </c>
      <c r="G28">
        <v>6.2018109003595832E-3</v>
      </c>
    </row>
    <row r="29" spans="1:7" x14ac:dyDescent="0.3">
      <c r="A29" t="s">
        <v>18</v>
      </c>
      <c r="B29">
        <v>49.25</v>
      </c>
      <c r="C29" s="2">
        <v>3.0618523412138292E-3</v>
      </c>
      <c r="D29" s="2">
        <v>5.9354275516710067E-3</v>
      </c>
      <c r="E29" s="2">
        <v>3.4504216651751671E-3</v>
      </c>
      <c r="F29" s="2">
        <v>2.3295420410826767E-3</v>
      </c>
      <c r="G29">
        <v>9.0610947542723891E-4</v>
      </c>
    </row>
    <row r="30" spans="1:7" x14ac:dyDescent="0.3">
      <c r="A30" t="s">
        <v>59</v>
      </c>
      <c r="B30">
        <v>53.749999999999986</v>
      </c>
      <c r="C30" s="2">
        <v>7.8458591883181789E-3</v>
      </c>
      <c r="D30" s="2">
        <v>1.0502553700956312E-2</v>
      </c>
      <c r="E30" s="2">
        <v>8.5763966693973414E-3</v>
      </c>
      <c r="F30" s="2">
        <v>7.9770760246393752E-3</v>
      </c>
      <c r="G30">
        <v>6.1709972393147287E-3</v>
      </c>
    </row>
    <row r="31" spans="1:7" x14ac:dyDescent="0.3">
      <c r="A31" t="s">
        <v>19</v>
      </c>
      <c r="B31">
        <v>47.499999999999915</v>
      </c>
      <c r="C31" s="2">
        <v>1.1182705610876718E-2</v>
      </c>
      <c r="D31" s="2">
        <v>1.1834453101670382E-2</v>
      </c>
      <c r="E31" s="2">
        <v>1.0671029850535262E-2</v>
      </c>
      <c r="F31" s="2">
        <v>9.886664678875794E-3</v>
      </c>
      <c r="G31">
        <v>8.5456226001865369E-3</v>
      </c>
    </row>
    <row r="32" spans="1:7" x14ac:dyDescent="0.3">
      <c r="A32" t="s">
        <v>20</v>
      </c>
      <c r="B32">
        <v>70.749999999999972</v>
      </c>
      <c r="C32">
        <v>2.2595455814129911E-3</v>
      </c>
      <c r="D32">
        <v>5.0254443475322994E-3</v>
      </c>
      <c r="E32">
        <v>3.089139594906776E-3</v>
      </c>
      <c r="F32">
        <v>2.0137570453197359E-3</v>
      </c>
      <c r="G32">
        <v>7.0348602593529679E-4</v>
      </c>
    </row>
    <row r="33" spans="1:7" x14ac:dyDescent="0.3">
      <c r="A33" t="s">
        <v>21</v>
      </c>
      <c r="B33">
        <v>62.250000000000007</v>
      </c>
      <c r="C33">
        <v>2.4307239439691781E-3</v>
      </c>
      <c r="D33">
        <v>4.8182278227681787E-3</v>
      </c>
      <c r="E33">
        <v>3.679938073247718E-3</v>
      </c>
      <c r="F33">
        <v>2.6821434823455599E-3</v>
      </c>
      <c r="G33">
        <v>1.5081095591292419E-3</v>
      </c>
    </row>
    <row r="34" spans="1:7" x14ac:dyDescent="0.3">
      <c r="A34" t="s">
        <v>22</v>
      </c>
      <c r="B34">
        <v>58.249999999999972</v>
      </c>
      <c r="C34">
        <v>2.453896058086985E-3</v>
      </c>
      <c r="D34">
        <v>3.6648158940241799E-3</v>
      </c>
      <c r="E34">
        <v>3.08123313618635E-3</v>
      </c>
      <c r="F34">
        <v>2.484358193358769E-3</v>
      </c>
      <c r="G34">
        <v>1.7462677359110579E-3</v>
      </c>
    </row>
    <row r="35" spans="1:7" x14ac:dyDescent="0.3">
      <c r="A35" t="s">
        <v>23</v>
      </c>
      <c r="B35">
        <v>47.25</v>
      </c>
      <c r="C35">
        <v>2.453896058086985E-3</v>
      </c>
      <c r="D35">
        <v>3.6648158940241799E-3</v>
      </c>
      <c r="E35">
        <v>3.08123313618635E-3</v>
      </c>
      <c r="F35">
        <v>2.484358193358769E-3</v>
      </c>
      <c r="G35">
        <v>1.7462677359110579E-3</v>
      </c>
    </row>
    <row r="36" spans="1:7" x14ac:dyDescent="0.3">
      <c r="A36" t="s">
        <v>24</v>
      </c>
      <c r="B36">
        <v>43.499999999999929</v>
      </c>
      <c r="C36">
        <v>3.8411091332385431E-3</v>
      </c>
      <c r="D36">
        <v>6.133962430548404E-3</v>
      </c>
      <c r="E36">
        <v>3.73832381539149E-3</v>
      </c>
      <c r="F36">
        <v>2.807842088464141E-3</v>
      </c>
      <c r="G36">
        <v>1.716636133750701E-3</v>
      </c>
    </row>
    <row r="37" spans="1:7" x14ac:dyDescent="0.3">
      <c r="A37" t="s">
        <v>25</v>
      </c>
      <c r="B37">
        <v>60.500000000000057</v>
      </c>
      <c r="C37">
        <v>3.7674819198200349E-3</v>
      </c>
      <c r="D37">
        <v>7.0520373826288311E-3</v>
      </c>
      <c r="E37">
        <v>3.9607429149117728E-3</v>
      </c>
      <c r="F37">
        <v>2.6963119188730279E-3</v>
      </c>
      <c r="G37">
        <v>1.140815417498031E-3</v>
      </c>
    </row>
    <row r="38" spans="1:7" x14ac:dyDescent="0.3">
      <c r="A38" t="s">
        <v>26</v>
      </c>
      <c r="B38">
        <v>64.25</v>
      </c>
      <c r="C38">
        <v>3.8157784316496632E-3</v>
      </c>
      <c r="D38">
        <v>6.5236408239104909E-3</v>
      </c>
      <c r="E38">
        <v>4.0272285275524938E-3</v>
      </c>
      <c r="F38">
        <v>3.0621200789284399E-3</v>
      </c>
      <c r="G38">
        <v>1.997642248440954E-3</v>
      </c>
    </row>
    <row r="39" spans="1:7" x14ac:dyDescent="0.3">
      <c r="A39" t="s">
        <v>27</v>
      </c>
      <c r="B39">
        <v>23.999999999999989</v>
      </c>
      <c r="C39">
        <v>3.7354425634437889E-3</v>
      </c>
      <c r="D39">
        <v>5.3381376908201404E-3</v>
      </c>
      <c r="E39">
        <v>4.0620579716581558E-3</v>
      </c>
      <c r="F39">
        <v>3.570825684235078E-3</v>
      </c>
      <c r="G39">
        <v>1.7381865840672701E-3</v>
      </c>
    </row>
    <row r="40" spans="1:7" x14ac:dyDescent="0.3">
      <c r="A40" t="s">
        <v>28</v>
      </c>
      <c r="B40">
        <v>20.000000000000011</v>
      </c>
      <c r="C40">
        <v>3.1255862069854228E-3</v>
      </c>
      <c r="D40">
        <v>5.2436964823839817E-3</v>
      </c>
      <c r="E40">
        <v>3.8958741848213211E-3</v>
      </c>
      <c r="F40">
        <v>3.546588835259917E-3</v>
      </c>
      <c r="G40">
        <v>1.6126506867082291E-3</v>
      </c>
    </row>
    <row r="41" spans="1:7" x14ac:dyDescent="0.3">
      <c r="A41" t="s">
        <v>29</v>
      </c>
      <c r="B41">
        <v>18.750000000000011</v>
      </c>
      <c r="C41">
        <v>3.3995557329501631E-3</v>
      </c>
      <c r="D41">
        <v>5.0887393087517482E-3</v>
      </c>
      <c r="E41">
        <v>3.9873353526212272E-3</v>
      </c>
      <c r="F41">
        <v>3.5480728562338028E-3</v>
      </c>
      <c r="G41">
        <v>1.921995105755392E-3</v>
      </c>
    </row>
    <row r="42" spans="1:7" x14ac:dyDescent="0.3">
      <c r="A42" t="s">
        <v>30</v>
      </c>
      <c r="B42">
        <v>29.49999999999994</v>
      </c>
      <c r="C42">
        <v>3.456927930406094E-3</v>
      </c>
      <c r="D42">
        <v>5.2044235108298998E-3</v>
      </c>
      <c r="E42">
        <v>3.74845167471374E-3</v>
      </c>
      <c r="F42">
        <v>3.8524490917186431E-3</v>
      </c>
      <c r="G42">
        <v>1.6093442504631281E-3</v>
      </c>
    </row>
    <row r="43" spans="1:7" x14ac:dyDescent="0.3">
      <c r="A43" t="s">
        <v>31</v>
      </c>
      <c r="B43">
        <v>28.000000000000039</v>
      </c>
      <c r="C43">
        <v>3.8870146971654528E-3</v>
      </c>
      <c r="D43">
        <v>6.43892368682883E-3</v>
      </c>
      <c r="E43">
        <v>4.5156065091741743E-3</v>
      </c>
      <c r="F43">
        <v>3.9573590198643347E-3</v>
      </c>
      <c r="G43">
        <v>1.634828256342412E-3</v>
      </c>
    </row>
    <row r="44" spans="1:7" x14ac:dyDescent="0.3">
      <c r="A44" t="s">
        <v>32</v>
      </c>
      <c r="B44">
        <v>28.499999999999979</v>
      </c>
      <c r="C44">
        <v>6.7706116888076899E-3</v>
      </c>
      <c r="D44">
        <v>7.973517145938849E-3</v>
      </c>
      <c r="E44">
        <v>5.5236019168040636E-3</v>
      </c>
      <c r="F44">
        <v>4.7322042916654204E-3</v>
      </c>
      <c r="G44">
        <v>2.5147003980729768E-3</v>
      </c>
    </row>
    <row r="45" spans="1:7" x14ac:dyDescent="0.3">
      <c r="A45" t="s">
        <v>33</v>
      </c>
      <c r="B45">
        <v>27.49999999999995</v>
      </c>
      <c r="C45">
        <v>4.1580601327395458E-3</v>
      </c>
      <c r="D45">
        <v>6.6993867383540471E-3</v>
      </c>
      <c r="E45">
        <v>4.5757067720218298E-3</v>
      </c>
      <c r="F45">
        <v>4.0365204092467884E-3</v>
      </c>
      <c r="G45">
        <v>1.768438653033949E-3</v>
      </c>
    </row>
    <row r="46" spans="1:7" x14ac:dyDescent="0.3">
      <c r="A46" t="s">
        <v>34</v>
      </c>
      <c r="B46">
        <v>32.500000000000028</v>
      </c>
      <c r="C46">
        <v>1.0221695784269839E-2</v>
      </c>
      <c r="D46">
        <v>1.2499892404650201E-2</v>
      </c>
      <c r="E46">
        <v>9.5653990299993056E-3</v>
      </c>
      <c r="F46">
        <v>8.5878905782149802E-3</v>
      </c>
      <c r="G46">
        <v>4.4096470243824466E-3</v>
      </c>
    </row>
    <row r="47" spans="1:7" x14ac:dyDescent="0.3">
      <c r="A47" t="s">
        <v>35</v>
      </c>
      <c r="B47">
        <v>33.500000000000057</v>
      </c>
      <c r="C47">
        <v>6.0545052159143549E-3</v>
      </c>
      <c r="D47">
        <v>9.0104206298999602E-3</v>
      </c>
      <c r="E47">
        <v>6.4464353672441096E-3</v>
      </c>
      <c r="F47">
        <v>6.9223052286405346E-3</v>
      </c>
      <c r="G47">
        <v>3.0394087302516382E-3</v>
      </c>
    </row>
    <row r="48" spans="1:7" x14ac:dyDescent="0.3">
      <c r="A48" t="s">
        <v>36</v>
      </c>
      <c r="B48">
        <v>32.500000000000021</v>
      </c>
      <c r="C48">
        <v>6.1764544685638618E-3</v>
      </c>
      <c r="D48">
        <v>9.7835070710010821E-3</v>
      </c>
      <c r="E48">
        <v>7.2544849422202058E-3</v>
      </c>
      <c r="F48">
        <v>7.0934380982581122E-3</v>
      </c>
      <c r="G48">
        <v>3.0645680360378829E-3</v>
      </c>
    </row>
    <row r="49" spans="1:7" x14ac:dyDescent="0.3">
      <c r="A49" t="s">
        <v>37</v>
      </c>
      <c r="B49">
        <v>32.250000000000057</v>
      </c>
      <c r="C49">
        <v>4.5602785568120054E-3</v>
      </c>
      <c r="D49">
        <v>7.3681067419064904E-3</v>
      </c>
      <c r="E49">
        <v>5.0667818429726659E-3</v>
      </c>
      <c r="F49">
        <v>4.6336209058095486E-3</v>
      </c>
      <c r="G49">
        <v>1.9860678493141279E-3</v>
      </c>
    </row>
    <row r="50" spans="1:7" x14ac:dyDescent="0.3">
      <c r="A50" t="s">
        <v>38</v>
      </c>
      <c r="B50">
        <v>27.500000000000021</v>
      </c>
      <c r="C50">
        <v>5.9962584208503762E-3</v>
      </c>
      <c r="D50">
        <v>8.8644458305106692E-3</v>
      </c>
      <c r="E50">
        <v>6.3296126194208524E-3</v>
      </c>
      <c r="F50">
        <v>6.1707450564041037E-3</v>
      </c>
      <c r="G50">
        <v>2.685837872554732E-3</v>
      </c>
    </row>
    <row r="51" spans="1:7" x14ac:dyDescent="0.3">
      <c r="A51" t="s">
        <v>39</v>
      </c>
      <c r="B51">
        <v>33.000000000000043</v>
      </c>
      <c r="C51">
        <v>1.01021586190217E-2</v>
      </c>
      <c r="D51">
        <v>1.3043823095319221E-2</v>
      </c>
      <c r="E51">
        <v>1.0443958120880189E-2</v>
      </c>
      <c r="F51">
        <v>9.3292746800503513E-3</v>
      </c>
      <c r="G51">
        <v>4.5691241811019684E-3</v>
      </c>
    </row>
    <row r="52" spans="1:7" x14ac:dyDescent="0.3">
      <c r="A52" t="s">
        <v>40</v>
      </c>
      <c r="B52">
        <v>35.5</v>
      </c>
      <c r="C52">
        <v>1.006615267707673E-2</v>
      </c>
      <c r="D52">
        <v>1.3657960571486419E-2</v>
      </c>
      <c r="E52">
        <v>1.153984567075121E-2</v>
      </c>
      <c r="F52">
        <v>1.056241396581825E-2</v>
      </c>
      <c r="G52">
        <v>5.168238032111255E-3</v>
      </c>
    </row>
    <row r="53" spans="1:7" x14ac:dyDescent="0.3">
      <c r="A53" t="s">
        <v>41</v>
      </c>
      <c r="B53">
        <v>30.500000000000039</v>
      </c>
      <c r="C53">
        <v>9.7867376335066987E-3</v>
      </c>
      <c r="D53">
        <v>1.25164849089475E-2</v>
      </c>
      <c r="E53">
        <v>9.516180289188849E-3</v>
      </c>
      <c r="F53">
        <v>8.5104241678821222E-3</v>
      </c>
      <c r="G53">
        <v>4.1815766050886521E-3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Charts</vt:lpstr>
      </vt:variant>
      <vt:variant>
        <vt:i4>1</vt:i4>
      </vt:variant>
    </vt:vector>
  </HeadingPairs>
  <TitlesOfParts>
    <vt:vector size="3" baseType="lpstr">
      <vt:lpstr>Sheet1</vt:lpstr>
      <vt:lpstr>Sheet2</vt:lpstr>
      <vt:lpstr>Chart1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Wondimagegn Tesfaye</dc:creator>
  <cp:lastModifiedBy>wondim</cp:lastModifiedBy>
  <dcterms:created xsi:type="dcterms:W3CDTF">2020-06-01T22:58:30Z</dcterms:created>
  <dcterms:modified xsi:type="dcterms:W3CDTF">2020-06-09T05:05:44Z</dcterms:modified>
</cp:coreProperties>
</file>